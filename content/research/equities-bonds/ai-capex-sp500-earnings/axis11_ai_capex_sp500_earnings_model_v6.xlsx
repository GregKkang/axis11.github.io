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b09dc8c40bbe034/문서/GitHub/axis11.github.io/content/research/equities-bonds/ai-capex-sp500-earnings/"/>
    </mc:Choice>
  </mc:AlternateContent>
  <xr:revisionPtr revIDLastSave="79" documentId="13_ncr:20001_{F30150B6-BED2-44A1-93AD-A18AC563FBCE}" xr6:coauthVersionLast="47" xr6:coauthVersionMax="47" xr10:uidLastSave="{F37831B3-7744-4403-982E-4A8262BC00C4}"/>
  <bookViews>
    <workbookView xWindow="-110" yWindow="-110" windowWidth="25820" windowHeight="15500" tabRatio="500" xr2:uid="{00000000-000D-0000-FFFF-FFFF00000000}"/>
  </bookViews>
  <sheets>
    <sheet name="Summary" sheetId="1" r:id="rId1"/>
    <sheet name="Data Request" sheetId="2" r:id="rId2"/>
    <sheet name="Consensus Input" sheetId="3" r:id="rId3"/>
    <sheet name="Company Model" sheetId="4" r:id="rId4"/>
    <sheet name="Capex Cross-check" sheetId="5" r:id="rId5"/>
    <sheet name="Assumptions" sheetId="6" r:id="rId6"/>
    <sheet name="Methodology" sheetId="7" r:id="rId7"/>
    <sheet name="Sources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19" i="1" l="1"/>
  <c r="B18" i="1"/>
  <c r="B22" i="1" s="1"/>
  <c r="B17" i="1"/>
  <c r="N11" i="5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5" i="4"/>
  <c r="V45" i="4" s="1"/>
  <c r="M11" i="5"/>
  <c r="L11" i="5"/>
  <c r="J20" i="3"/>
  <c r="I20" i="3"/>
  <c r="H20" i="3"/>
  <c r="J18" i="3"/>
  <c r="I18" i="3"/>
  <c r="H18" i="3"/>
  <c r="J14" i="3"/>
  <c r="I14" i="3"/>
  <c r="H14" i="3"/>
  <c r="J24" i="3"/>
  <c r="I24" i="3"/>
  <c r="H24" i="3"/>
  <c r="J23" i="3"/>
  <c r="I23" i="3"/>
  <c r="H23" i="3"/>
  <c r="J8" i="3"/>
  <c r="I8" i="3"/>
  <c r="H8" i="3"/>
  <c r="J7" i="3"/>
  <c r="I7" i="3"/>
  <c r="H7" i="3"/>
  <c r="J6" i="3"/>
  <c r="I6" i="3"/>
  <c r="H6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11" i="3"/>
  <c r="I11" i="3"/>
  <c r="H11" i="3"/>
  <c r="J19" i="3"/>
  <c r="I19" i="3"/>
  <c r="H19" i="3"/>
  <c r="J15" i="3"/>
  <c r="I15" i="3"/>
  <c r="H15" i="3"/>
  <c r="J28" i="3"/>
  <c r="I28" i="3"/>
  <c r="H28" i="3"/>
  <c r="J37" i="3"/>
  <c r="I37" i="3"/>
  <c r="H37" i="3"/>
  <c r="J13" i="3"/>
  <c r="I13" i="3"/>
  <c r="H13" i="3"/>
  <c r="J12" i="3"/>
  <c r="I12" i="3"/>
  <c r="H12" i="3"/>
  <c r="J17" i="3"/>
  <c r="I17" i="3"/>
  <c r="H17" i="3"/>
  <c r="J16" i="3"/>
  <c r="I16" i="3"/>
  <c r="H16" i="3"/>
  <c r="J31" i="3"/>
  <c r="I31" i="3"/>
  <c r="H31" i="3"/>
  <c r="J30" i="3"/>
  <c r="I30" i="3"/>
  <c r="H30" i="3"/>
  <c r="J29" i="3"/>
  <c r="I29" i="3"/>
  <c r="H29" i="3"/>
  <c r="J26" i="3"/>
  <c r="I26" i="3"/>
  <c r="H26" i="3"/>
  <c r="J25" i="3"/>
  <c r="I25" i="3"/>
  <c r="H25" i="3"/>
  <c r="J5" i="3"/>
  <c r="I5" i="3"/>
  <c r="H5" i="3"/>
  <c r="J21" i="3"/>
  <c r="I21" i="3"/>
  <c r="H21" i="3"/>
  <c r="J9" i="3"/>
  <c r="I9" i="3"/>
  <c r="H9" i="3"/>
  <c r="J22" i="3"/>
  <c r="I22" i="3"/>
  <c r="H22" i="3"/>
  <c r="J10" i="3"/>
  <c r="I10" i="3"/>
  <c r="H10" i="3"/>
  <c r="I27" i="3"/>
  <c r="H27" i="3"/>
  <c r="E10" i="3"/>
  <c r="F10" i="3"/>
  <c r="G10" i="3"/>
  <c r="E22" i="3"/>
  <c r="F22" i="3"/>
  <c r="G22" i="3"/>
  <c r="E9" i="3"/>
  <c r="F9" i="3"/>
  <c r="G9" i="3"/>
  <c r="E21" i="3"/>
  <c r="F21" i="3"/>
  <c r="G21" i="3"/>
  <c r="E5" i="3"/>
  <c r="F5" i="3"/>
  <c r="G5" i="3"/>
  <c r="E25" i="3"/>
  <c r="F25" i="3"/>
  <c r="G25" i="3"/>
  <c r="E26" i="3"/>
  <c r="F26" i="3"/>
  <c r="G26" i="3"/>
  <c r="E29" i="3"/>
  <c r="F29" i="3"/>
  <c r="G29" i="3"/>
  <c r="E30" i="3"/>
  <c r="F30" i="3"/>
  <c r="G30" i="3"/>
  <c r="E31" i="3"/>
  <c r="F31" i="3"/>
  <c r="G31" i="3"/>
  <c r="E16" i="3"/>
  <c r="F16" i="3"/>
  <c r="G16" i="3"/>
  <c r="E17" i="3"/>
  <c r="F17" i="3"/>
  <c r="G17" i="3"/>
  <c r="E12" i="3"/>
  <c r="F12" i="3"/>
  <c r="G12" i="3"/>
  <c r="E13" i="3"/>
  <c r="F13" i="3"/>
  <c r="G13" i="3"/>
  <c r="E37" i="3"/>
  <c r="F37" i="3"/>
  <c r="G37" i="3"/>
  <c r="E28" i="3"/>
  <c r="F28" i="3"/>
  <c r="G28" i="3"/>
  <c r="E15" i="3"/>
  <c r="F15" i="3"/>
  <c r="G15" i="3"/>
  <c r="E19" i="3"/>
  <c r="F19" i="3"/>
  <c r="G19" i="3"/>
  <c r="E11" i="3"/>
  <c r="F11" i="3"/>
  <c r="G1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6" i="3"/>
  <c r="F6" i="3"/>
  <c r="G6" i="3"/>
  <c r="E7" i="3"/>
  <c r="F7" i="3"/>
  <c r="G7" i="3"/>
  <c r="E8" i="3"/>
  <c r="F8" i="3"/>
  <c r="G8" i="3"/>
  <c r="E23" i="3"/>
  <c r="F23" i="3"/>
  <c r="G23" i="3"/>
  <c r="E24" i="3"/>
  <c r="F24" i="3"/>
  <c r="G24" i="3"/>
  <c r="E14" i="3"/>
  <c r="F14" i="3"/>
  <c r="G14" i="3"/>
  <c r="E18" i="3"/>
  <c r="F18" i="3"/>
  <c r="G18" i="3"/>
  <c r="E20" i="3"/>
  <c r="F20" i="3"/>
  <c r="G20" i="3"/>
  <c r="G27" i="3"/>
  <c r="F27" i="3"/>
  <c r="E27" i="3"/>
  <c r="K14" i="3" l="1"/>
  <c r="K42" i="3"/>
  <c r="K33" i="3"/>
  <c r="K13" i="3"/>
  <c r="K25" i="3"/>
  <c r="K9" i="3"/>
  <c r="K16" i="3"/>
  <c r="K8" i="3"/>
  <c r="M20" i="3"/>
  <c r="M44" i="3"/>
  <c r="M35" i="3"/>
  <c r="K37" i="3"/>
  <c r="M14" i="3"/>
  <c r="M42" i="3"/>
  <c r="M33" i="3"/>
  <c r="M13" i="3"/>
  <c r="M25" i="3"/>
  <c r="L31" i="3"/>
  <c r="L20" i="3"/>
  <c r="L44" i="3"/>
  <c r="M24" i="3"/>
  <c r="M41" i="3"/>
  <c r="M32" i="3"/>
  <c r="M12" i="3"/>
  <c r="M5" i="3"/>
  <c r="L9" i="3"/>
  <c r="L35" i="3"/>
  <c r="L16" i="3"/>
  <c r="L19" i="3"/>
  <c r="L8" i="3"/>
  <c r="M23" i="3"/>
  <c r="M40" i="3"/>
  <c r="M11" i="3"/>
  <c r="M17" i="3"/>
  <c r="M21" i="3"/>
  <c r="M29" i="3"/>
  <c r="L24" i="3"/>
  <c r="L14" i="3"/>
  <c r="L42" i="3"/>
  <c r="L33" i="3"/>
  <c r="L13" i="3"/>
  <c r="L25" i="3"/>
  <c r="L28" i="3"/>
  <c r="M43" i="3"/>
  <c r="M31" i="3"/>
  <c r="M7" i="3"/>
  <c r="K12" i="3"/>
  <c r="M19" i="3"/>
  <c r="L10" i="3"/>
  <c r="L41" i="3"/>
  <c r="L32" i="3"/>
  <c r="L12" i="3"/>
  <c r="M9" i="3"/>
  <c r="M16" i="3"/>
  <c r="M8" i="3"/>
  <c r="L21" i="3"/>
  <c r="K40" i="3"/>
  <c r="K19" i="3"/>
  <c r="K23" i="3"/>
  <c r="K11" i="3"/>
  <c r="K21" i="3"/>
  <c r="M28" i="3"/>
  <c r="M18" i="3"/>
  <c r="M34" i="3"/>
  <c r="M37" i="3"/>
  <c r="M26" i="3"/>
  <c r="L15" i="3"/>
  <c r="L36" i="3"/>
  <c r="L18" i="3"/>
  <c r="L43" i="3"/>
  <c r="L34" i="3"/>
  <c r="L37" i="3"/>
  <c r="L26" i="3"/>
  <c r="M10" i="3"/>
  <c r="M15" i="3"/>
  <c r="M36" i="3"/>
  <c r="K18" i="3"/>
  <c r="K43" i="3"/>
  <c r="K34" i="3"/>
  <c r="K26" i="3"/>
  <c r="K24" i="3"/>
  <c r="K41" i="3"/>
  <c r="K32" i="3"/>
  <c r="K17" i="3"/>
  <c r="L23" i="3"/>
  <c r="M39" i="3"/>
  <c r="L11" i="3"/>
  <c r="K39" i="3"/>
  <c r="M38" i="3"/>
  <c r="M22" i="3"/>
  <c r="L7" i="3"/>
  <c r="L38" i="3"/>
  <c r="L22" i="3"/>
  <c r="L39" i="3"/>
  <c r="K7" i="3"/>
  <c r="K38" i="3"/>
  <c r="K31" i="3"/>
  <c r="K22" i="3"/>
  <c r="L17" i="3"/>
  <c r="M6" i="3"/>
  <c r="M30" i="3"/>
  <c r="L40" i="3"/>
  <c r="L6" i="3"/>
  <c r="L30" i="3"/>
  <c r="K6" i="3"/>
  <c r="K36" i="3"/>
  <c r="K15" i="3"/>
  <c r="K30" i="3"/>
  <c r="K10" i="3"/>
  <c r="K29" i="3"/>
  <c r="K28" i="3"/>
  <c r="K35" i="3"/>
  <c r="K44" i="3"/>
  <c r="K20" i="3"/>
  <c r="K27" i="3"/>
  <c r="L29" i="3"/>
  <c r="L27" i="3"/>
  <c r="L5" i="3"/>
  <c r="K5" i="3"/>
  <c r="J27" i="3"/>
  <c r="M27" i="3" s="1"/>
  <c r="B12" i="6" l="1"/>
  <c r="B14" i="6" s="1"/>
  <c r="C14" i="1" s="1"/>
  <c r="B11" i="6"/>
  <c r="B13" i="6" s="1"/>
  <c r="B14" i="1" s="1"/>
  <c r="B20" i="1" s="1"/>
  <c r="C23" i="5"/>
  <c r="B23" i="5"/>
  <c r="H11" i="5"/>
  <c r="G11" i="5"/>
  <c r="F11" i="5"/>
  <c r="C11" i="5"/>
  <c r="B11" i="5"/>
  <c r="H10" i="5"/>
  <c r="G10" i="5"/>
  <c r="F10" i="5"/>
  <c r="G9" i="5"/>
  <c r="H9" i="5" s="1"/>
  <c r="F9" i="5"/>
  <c r="H8" i="5"/>
  <c r="G8" i="5"/>
  <c r="F8" i="5"/>
  <c r="H7" i="5"/>
  <c r="G7" i="5"/>
  <c r="F7" i="5"/>
  <c r="G6" i="5"/>
  <c r="H6" i="5" s="1"/>
  <c r="F6" i="5"/>
  <c r="G45" i="4"/>
  <c r="F44" i="4"/>
  <c r="I44" i="4" s="1"/>
  <c r="E44" i="4"/>
  <c r="F43" i="4"/>
  <c r="E43" i="4"/>
  <c r="F42" i="4"/>
  <c r="X42" i="4" s="1"/>
  <c r="E42" i="4"/>
  <c r="F41" i="4"/>
  <c r="X41" i="4" s="1"/>
  <c r="E41" i="4"/>
  <c r="F40" i="4"/>
  <c r="X40" i="4" s="1"/>
  <c r="E40" i="4"/>
  <c r="F39" i="4"/>
  <c r="X39" i="4" s="1"/>
  <c r="E39" i="4"/>
  <c r="F38" i="4"/>
  <c r="X38" i="4" s="1"/>
  <c r="E38" i="4"/>
  <c r="F37" i="4"/>
  <c r="I37" i="4" s="1"/>
  <c r="E37" i="4"/>
  <c r="F36" i="4"/>
  <c r="X36" i="4" s="1"/>
  <c r="E36" i="4"/>
  <c r="F35" i="4"/>
  <c r="X35" i="4" s="1"/>
  <c r="E35" i="4"/>
  <c r="F34" i="4"/>
  <c r="I34" i="4" s="1"/>
  <c r="E34" i="4"/>
  <c r="F33" i="4"/>
  <c r="X33" i="4" s="1"/>
  <c r="E33" i="4"/>
  <c r="F32" i="4"/>
  <c r="I32" i="4" s="1"/>
  <c r="E32" i="4"/>
  <c r="F31" i="4"/>
  <c r="X31" i="4" s="1"/>
  <c r="E31" i="4"/>
  <c r="F30" i="4"/>
  <c r="X30" i="4" s="1"/>
  <c r="E30" i="4"/>
  <c r="F29" i="4"/>
  <c r="I29" i="4" s="1"/>
  <c r="E29" i="4"/>
  <c r="F28" i="4"/>
  <c r="X28" i="4" s="1"/>
  <c r="E28" i="4"/>
  <c r="F27" i="4"/>
  <c r="I27" i="4" s="1"/>
  <c r="E27" i="4"/>
  <c r="F26" i="4"/>
  <c r="X26" i="4" s="1"/>
  <c r="E26" i="4"/>
  <c r="F25" i="4"/>
  <c r="I25" i="4" s="1"/>
  <c r="E25" i="4"/>
  <c r="F24" i="4"/>
  <c r="X24" i="4" s="1"/>
  <c r="E24" i="4"/>
  <c r="F23" i="4"/>
  <c r="X23" i="4" s="1"/>
  <c r="E23" i="4"/>
  <c r="F22" i="4"/>
  <c r="I22" i="4" s="1"/>
  <c r="E22" i="4"/>
  <c r="F21" i="4"/>
  <c r="X21" i="4" s="1"/>
  <c r="E21" i="4"/>
  <c r="F20" i="4"/>
  <c r="I20" i="4" s="1"/>
  <c r="E20" i="4"/>
  <c r="F19" i="4"/>
  <c r="X19" i="4" s="1"/>
  <c r="E19" i="4"/>
  <c r="F18" i="4"/>
  <c r="X18" i="4" s="1"/>
  <c r="E18" i="4"/>
  <c r="F17" i="4"/>
  <c r="X17" i="4" s="1"/>
  <c r="E17" i="4"/>
  <c r="F16" i="4"/>
  <c r="E16" i="4"/>
  <c r="F15" i="4"/>
  <c r="I15" i="4" s="1"/>
  <c r="E15" i="4"/>
  <c r="F14" i="4"/>
  <c r="X14" i="4" s="1"/>
  <c r="E14" i="4"/>
  <c r="F13" i="4"/>
  <c r="X13" i="4" s="1"/>
  <c r="E13" i="4"/>
  <c r="F12" i="4"/>
  <c r="I12" i="4" s="1"/>
  <c r="E12" i="4"/>
  <c r="F11" i="4"/>
  <c r="X11" i="4" s="1"/>
  <c r="E11" i="4"/>
  <c r="F10" i="4"/>
  <c r="I10" i="4" s="1"/>
  <c r="E10" i="4"/>
  <c r="F9" i="4"/>
  <c r="X9" i="4" s="1"/>
  <c r="E9" i="4"/>
  <c r="F8" i="4"/>
  <c r="I8" i="4" s="1"/>
  <c r="E8" i="4"/>
  <c r="F7" i="4"/>
  <c r="E7" i="4"/>
  <c r="F6" i="4"/>
  <c r="E6" i="4"/>
  <c r="F5" i="4"/>
  <c r="I5" i="4" s="1"/>
  <c r="E5" i="4"/>
  <c r="C10" i="1"/>
  <c r="B10" i="1"/>
  <c r="C6" i="1"/>
  <c r="B6" i="1"/>
  <c r="U5" i="4" l="1"/>
  <c r="S15" i="4"/>
  <c r="T15" i="4"/>
  <c r="U15" i="4"/>
  <c r="S27" i="4"/>
  <c r="T27" i="4"/>
  <c r="U27" i="4"/>
  <c r="S12" i="4"/>
  <c r="T12" i="4"/>
  <c r="U12" i="4"/>
  <c r="S44" i="4"/>
  <c r="T44" i="4"/>
  <c r="U44" i="4"/>
  <c r="T8" i="4"/>
  <c r="U8" i="4"/>
  <c r="S8" i="4"/>
  <c r="S25" i="4"/>
  <c r="T25" i="4"/>
  <c r="U25" i="4"/>
  <c r="U37" i="4"/>
  <c r="S37" i="4"/>
  <c r="T37" i="4"/>
  <c r="S29" i="4"/>
  <c r="T29" i="4"/>
  <c r="U29" i="4"/>
  <c r="T32" i="4"/>
  <c r="U32" i="4"/>
  <c r="S32" i="4"/>
  <c r="T10" i="4"/>
  <c r="U10" i="4"/>
  <c r="S10" i="4"/>
  <c r="S22" i="4"/>
  <c r="T22" i="4"/>
  <c r="U22" i="4"/>
  <c r="U34" i="4"/>
  <c r="T34" i="4"/>
  <c r="S34" i="4"/>
  <c r="S20" i="4"/>
  <c r="T20" i="4"/>
  <c r="U20" i="4"/>
  <c r="S5" i="4"/>
  <c r="T5" i="4"/>
  <c r="H37" i="4"/>
  <c r="P37" i="4" s="1"/>
  <c r="W26" i="4"/>
  <c r="H15" i="4"/>
  <c r="P15" i="4" s="1"/>
  <c r="H27" i="4"/>
  <c r="R27" i="4" s="1"/>
  <c r="H39" i="4"/>
  <c r="P39" i="4" s="1"/>
  <c r="H25" i="4"/>
  <c r="R25" i="4" s="1"/>
  <c r="W40" i="4"/>
  <c r="H29" i="4"/>
  <c r="R29" i="4" s="1"/>
  <c r="H41" i="4"/>
  <c r="R41" i="4" s="1"/>
  <c r="H5" i="4"/>
  <c r="H20" i="4"/>
  <c r="R20" i="4" s="1"/>
  <c r="H44" i="4"/>
  <c r="R44" i="4" s="1"/>
  <c r="W30" i="4"/>
  <c r="W11" i="4"/>
  <c r="H19" i="4"/>
  <c r="R19" i="4" s="1"/>
  <c r="H21" i="4"/>
  <c r="P21" i="4" s="1"/>
  <c r="H22" i="4"/>
  <c r="R22" i="4" s="1"/>
  <c r="W12" i="4"/>
  <c r="H36" i="4"/>
  <c r="P36" i="4" s="1"/>
  <c r="W36" i="4"/>
  <c r="I36" i="4"/>
  <c r="W16" i="4"/>
  <c r="X27" i="4"/>
  <c r="W38" i="4"/>
  <c r="X37" i="4"/>
  <c r="W29" i="4"/>
  <c r="X29" i="4"/>
  <c r="X12" i="4"/>
  <c r="W13" i="4"/>
  <c r="W15" i="4"/>
  <c r="X10" i="4"/>
  <c r="I41" i="4"/>
  <c r="H7" i="4"/>
  <c r="P7" i="4" s="1"/>
  <c r="W41" i="4"/>
  <c r="H17" i="4"/>
  <c r="Q17" i="4" s="1"/>
  <c r="W27" i="4"/>
  <c r="W24" i="4"/>
  <c r="X34" i="4"/>
  <c r="W10" i="4"/>
  <c r="X15" i="4"/>
  <c r="H10" i="4"/>
  <c r="R10" i="4" s="1"/>
  <c r="W17" i="4"/>
  <c r="W7" i="4"/>
  <c r="X7" i="4"/>
  <c r="X25" i="4"/>
  <c r="I30" i="4"/>
  <c r="I31" i="4"/>
  <c r="I33" i="4"/>
  <c r="H34" i="4"/>
  <c r="P34" i="4" s="1"/>
  <c r="X22" i="4"/>
  <c r="I39" i="4"/>
  <c r="I38" i="4"/>
  <c r="I17" i="4"/>
  <c r="W34" i="4"/>
  <c r="X44" i="4"/>
  <c r="H12" i="4"/>
  <c r="H24" i="4"/>
  <c r="R24" i="4" s="1"/>
  <c r="W35" i="4"/>
  <c r="W5" i="4"/>
  <c r="I24" i="4"/>
  <c r="I19" i="4"/>
  <c r="X5" i="4"/>
  <c r="I13" i="4"/>
  <c r="H42" i="4"/>
  <c r="P42" i="4" s="1"/>
  <c r="I42" i="4"/>
  <c r="W22" i="4"/>
  <c r="W39" i="4"/>
  <c r="W18" i="4"/>
  <c r="F45" i="4"/>
  <c r="D21" i="5"/>
  <c r="D17" i="5"/>
  <c r="D22" i="5"/>
  <c r="D20" i="5"/>
  <c r="D19" i="5"/>
  <c r="D18" i="5"/>
  <c r="E20" i="5"/>
  <c r="F20" i="5" s="1"/>
  <c r="E16" i="5"/>
  <c r="E21" i="5"/>
  <c r="E17" i="5"/>
  <c r="E22" i="5"/>
  <c r="E19" i="5"/>
  <c r="F19" i="5" s="1"/>
  <c r="E18" i="5"/>
  <c r="F18" i="5" s="1"/>
  <c r="W8" i="4"/>
  <c r="X8" i="4"/>
  <c r="H26" i="4"/>
  <c r="W9" i="4"/>
  <c r="H9" i="4"/>
  <c r="I26" i="4"/>
  <c r="D16" i="5"/>
  <c r="H13" i="4"/>
  <c r="W23" i="4"/>
  <c r="H38" i="4"/>
  <c r="W14" i="4"/>
  <c r="H14" i="4"/>
  <c r="H18" i="4"/>
  <c r="I23" i="4"/>
  <c r="H35" i="4"/>
  <c r="I18" i="4"/>
  <c r="W28" i="4"/>
  <c r="I35" i="4"/>
  <c r="H28" i="4"/>
  <c r="X43" i="4"/>
  <c r="W43" i="4"/>
  <c r="X16" i="4"/>
  <c r="I16" i="4"/>
  <c r="X20" i="4"/>
  <c r="W32" i="4"/>
  <c r="I43" i="4"/>
  <c r="H16" i="4"/>
  <c r="W21" i="4"/>
  <c r="W25" i="4"/>
  <c r="X32" i="4"/>
  <c r="I28" i="4"/>
  <c r="H11" i="4"/>
  <c r="I11" i="4"/>
  <c r="H40" i="4"/>
  <c r="W33" i="4"/>
  <c r="H30" i="4"/>
  <c r="I40" i="4"/>
  <c r="H23" i="4"/>
  <c r="W6" i="4"/>
  <c r="E45" i="4"/>
  <c r="H6" i="4"/>
  <c r="X6" i="4"/>
  <c r="I6" i="4"/>
  <c r="W20" i="4"/>
  <c r="H43" i="4"/>
  <c r="H8" i="4"/>
  <c r="I21" i="4"/>
  <c r="H33" i="4"/>
  <c r="I9" i="4"/>
  <c r="I14" i="4"/>
  <c r="H31" i="4"/>
  <c r="I7" i="4"/>
  <c r="W31" i="4"/>
  <c r="W44" i="4"/>
  <c r="W19" i="4"/>
  <c r="W37" i="4"/>
  <c r="H32" i="4"/>
  <c r="W42" i="4"/>
  <c r="C26" i="1" l="1"/>
  <c r="R5" i="4"/>
  <c r="B26" i="1"/>
  <c r="S33" i="4"/>
  <c r="T33" i="4"/>
  <c r="U33" i="4"/>
  <c r="S14" i="4"/>
  <c r="T14" i="4"/>
  <c r="U14" i="4"/>
  <c r="U9" i="4"/>
  <c r="S9" i="4"/>
  <c r="T9" i="4"/>
  <c r="U42" i="4"/>
  <c r="T42" i="4"/>
  <c r="S42" i="4"/>
  <c r="S11" i="4"/>
  <c r="T11" i="4"/>
  <c r="U11" i="4"/>
  <c r="S35" i="4"/>
  <c r="T35" i="4"/>
  <c r="U35" i="4"/>
  <c r="S13" i="4"/>
  <c r="T13" i="4"/>
  <c r="U13" i="4"/>
  <c r="S7" i="4"/>
  <c r="T7" i="4"/>
  <c r="U7" i="4"/>
  <c r="T18" i="4"/>
  <c r="U18" i="4"/>
  <c r="S18" i="4"/>
  <c r="S19" i="4"/>
  <c r="T19" i="4"/>
  <c r="U19" i="4"/>
  <c r="U17" i="4"/>
  <c r="S17" i="4"/>
  <c r="T17" i="4"/>
  <c r="S41" i="4"/>
  <c r="U41" i="4"/>
  <c r="T41" i="4"/>
  <c r="T21" i="4"/>
  <c r="U21" i="4"/>
  <c r="S21" i="4"/>
  <c r="T16" i="4"/>
  <c r="S16" i="4"/>
  <c r="U16" i="4"/>
  <c r="S31" i="4"/>
  <c r="T31" i="4"/>
  <c r="U31" i="4"/>
  <c r="S30" i="4"/>
  <c r="T30" i="4"/>
  <c r="U30" i="4"/>
  <c r="U40" i="4"/>
  <c r="S40" i="4"/>
  <c r="T40" i="4"/>
  <c r="S28" i="4"/>
  <c r="T28" i="4"/>
  <c r="U28" i="4"/>
  <c r="T24" i="4"/>
  <c r="U24" i="4"/>
  <c r="S24" i="4"/>
  <c r="S6" i="4"/>
  <c r="T6" i="4"/>
  <c r="U6" i="4"/>
  <c r="S36" i="4"/>
  <c r="T36" i="4"/>
  <c r="U36" i="4"/>
  <c r="S38" i="4"/>
  <c r="T38" i="4"/>
  <c r="U38" i="4"/>
  <c r="S39" i="4"/>
  <c r="T39" i="4"/>
  <c r="U39" i="4"/>
  <c r="T26" i="4"/>
  <c r="U26" i="4"/>
  <c r="S26" i="4"/>
  <c r="S23" i="4"/>
  <c r="T23" i="4"/>
  <c r="U23" i="4"/>
  <c r="S43" i="4"/>
  <c r="T43" i="4"/>
  <c r="U43" i="4"/>
  <c r="P27" i="4"/>
  <c r="R39" i="4"/>
  <c r="R37" i="4"/>
  <c r="R15" i="4"/>
  <c r="P29" i="4"/>
  <c r="Q29" i="4"/>
  <c r="Q41" i="4"/>
  <c r="P25" i="4"/>
  <c r="P5" i="4"/>
  <c r="P41" i="4"/>
  <c r="Q5" i="4"/>
  <c r="Q19" i="4"/>
  <c r="P44" i="4"/>
  <c r="P19" i="4"/>
  <c r="P20" i="4"/>
  <c r="Q21" i="4"/>
  <c r="P22" i="4"/>
  <c r="Q36" i="4"/>
  <c r="R36" i="4"/>
  <c r="X45" i="4"/>
  <c r="C7" i="1" s="1"/>
  <c r="R17" i="4"/>
  <c r="Q7" i="4"/>
  <c r="P17" i="4"/>
  <c r="P10" i="4"/>
  <c r="Q42" i="4"/>
  <c r="W45" i="4"/>
  <c r="B7" i="1" s="1"/>
  <c r="R34" i="4"/>
  <c r="R42" i="4"/>
  <c r="P24" i="4"/>
  <c r="Q24" i="4"/>
  <c r="P12" i="4"/>
  <c r="Q12" i="4"/>
  <c r="Q34" i="4"/>
  <c r="Q22" i="4"/>
  <c r="P31" i="4"/>
  <c r="R31" i="4"/>
  <c r="R14" i="4"/>
  <c r="Q16" i="4"/>
  <c r="P16" i="4"/>
  <c r="Q39" i="4"/>
  <c r="R9" i="4"/>
  <c r="R26" i="4"/>
  <c r="P26" i="4"/>
  <c r="Q37" i="4"/>
  <c r="I45" i="4"/>
  <c r="C15" i="1" s="1"/>
  <c r="R30" i="4"/>
  <c r="P30" i="4"/>
  <c r="Q20" i="4"/>
  <c r="P28" i="4"/>
  <c r="Q10" i="4"/>
  <c r="P6" i="4"/>
  <c r="R6" i="4"/>
  <c r="Q6" i="4"/>
  <c r="H45" i="4"/>
  <c r="B15" i="1" s="1"/>
  <c r="Q14" i="4"/>
  <c r="P14" i="4"/>
  <c r="P40" i="4"/>
  <c r="P18" i="5"/>
  <c r="O18" i="5"/>
  <c r="N18" i="5"/>
  <c r="Q35" i="4"/>
  <c r="R35" i="4"/>
  <c r="P35" i="4"/>
  <c r="P18" i="4"/>
  <c r="Q18" i="4"/>
  <c r="R32" i="4"/>
  <c r="Q32" i="4"/>
  <c r="P32" i="4"/>
  <c r="R33" i="4"/>
  <c r="P33" i="4"/>
  <c r="R43" i="4"/>
  <c r="F22" i="5"/>
  <c r="P20" i="5"/>
  <c r="O20" i="5"/>
  <c r="N20" i="5"/>
  <c r="R16" i="4"/>
  <c r="R21" i="4"/>
  <c r="R8" i="4"/>
  <c r="Q8" i="4"/>
  <c r="P8" i="4"/>
  <c r="O19" i="5"/>
  <c r="P19" i="5"/>
  <c r="N19" i="5"/>
  <c r="F17" i="5"/>
  <c r="F16" i="5"/>
  <c r="E23" i="5"/>
  <c r="Q15" i="4"/>
  <c r="R23" i="4"/>
  <c r="Q23" i="4"/>
  <c r="P23" i="4"/>
  <c r="P9" i="4"/>
  <c r="Q9" i="4"/>
  <c r="R7" i="4"/>
  <c r="R12" i="4"/>
  <c r="Q27" i="4"/>
  <c r="R38" i="4"/>
  <c r="Q38" i="4"/>
  <c r="P38" i="4"/>
  <c r="R13" i="4"/>
  <c r="P13" i="4"/>
  <c r="Q44" i="4"/>
  <c r="R11" i="4"/>
  <c r="P11" i="4"/>
  <c r="F21" i="5"/>
  <c r="Q25" i="4"/>
  <c r="D23" i="5"/>
  <c r="P43" i="4"/>
  <c r="Q43" i="4"/>
  <c r="C16" i="1" l="1"/>
  <c r="C29" i="1"/>
  <c r="U60" i="1" s="1"/>
  <c r="C32" i="1"/>
  <c r="C27" i="1"/>
  <c r="B32" i="1"/>
  <c r="C21" i="1"/>
  <c r="C28" i="1"/>
  <c r="B29" i="1"/>
  <c r="T60" i="1" s="1"/>
  <c r="B28" i="1"/>
  <c r="B27" i="1"/>
  <c r="B21" i="1"/>
  <c r="B16" i="1"/>
  <c r="P45" i="4"/>
  <c r="Q26" i="4"/>
  <c r="Q33" i="4"/>
  <c r="R18" i="4"/>
  <c r="Q40" i="4"/>
  <c r="T45" i="4"/>
  <c r="R28" i="4"/>
  <c r="Q28" i="4"/>
  <c r="O21" i="5"/>
  <c r="N21" i="5"/>
  <c r="P21" i="5"/>
  <c r="R40" i="4"/>
  <c r="Q31" i="4"/>
  <c r="Q11" i="4"/>
  <c r="Q30" i="4"/>
  <c r="S45" i="4"/>
  <c r="C17" i="1" s="1"/>
  <c r="P16" i="5"/>
  <c r="O16" i="5"/>
  <c r="N16" i="5"/>
  <c r="F23" i="5"/>
  <c r="O17" i="5"/>
  <c r="N17" i="5"/>
  <c r="P17" i="5"/>
  <c r="Q13" i="4"/>
  <c r="P22" i="5"/>
  <c r="N22" i="5"/>
  <c r="O22" i="5"/>
  <c r="C18" i="1" l="1"/>
  <c r="C20" i="1"/>
  <c r="P23" i="5"/>
  <c r="T54" i="1"/>
  <c r="U54" i="1"/>
  <c r="C38" i="1"/>
  <c r="C39" i="1"/>
  <c r="C37" i="1"/>
  <c r="C8" i="1"/>
  <c r="C9" i="1" s="1"/>
  <c r="B8" i="1"/>
  <c r="B9" i="1" s="1"/>
  <c r="U51" i="1"/>
  <c r="T51" i="1"/>
  <c r="U45" i="4"/>
  <c r="C19" i="1" s="1"/>
  <c r="Q45" i="4"/>
  <c r="R45" i="4"/>
  <c r="B31" i="1"/>
  <c r="T59" i="1"/>
  <c r="B30" i="1"/>
  <c r="T58" i="1"/>
  <c r="N23" i="5"/>
  <c r="O23" i="5"/>
  <c r="C30" i="1"/>
  <c r="U58" i="1"/>
  <c r="C31" i="1"/>
  <c r="U59" i="1"/>
  <c r="C22" i="1" l="1"/>
  <c r="U53" i="1"/>
  <c r="T53" i="1"/>
  <c r="U52" i="1"/>
  <c r="T52" i="1" l="1"/>
</calcChain>
</file>

<file path=xl/sharedStrings.xml><?xml version="1.0" encoding="utf-8"?>
<sst xmlns="http://schemas.openxmlformats.org/spreadsheetml/2006/main" count="1069" uniqueCount="577">
  <si>
    <t>AI Capex and S&amp;P 500 Earnings Growth</t>
  </si>
  <si>
    <t>Data coverage</t>
  </si>
  <si>
    <t>Metric</t>
  </si>
  <si>
    <t>2025→2026</t>
  </si>
  <si>
    <t>2026→2027</t>
  </si>
  <si>
    <t>Status</t>
  </si>
  <si>
    <t>Required companies</t>
  </si>
  <si>
    <t>Target</t>
  </si>
  <si>
    <t>Companies with complete inputs</t>
  </si>
  <si>
    <t>Calculated</t>
  </si>
  <si>
    <t>Missing companies</t>
  </si>
  <si>
    <t>Primary model status</t>
  </si>
  <si>
    <t>S&amp;P EPS assumptions</t>
  </si>
  <si>
    <t>Index points</t>
  </si>
  <si>
    <t>Consensus-based result</t>
  </si>
  <si>
    <t>Unit</t>
  </si>
  <si>
    <t>S&amp;P 500 aggregate earnings increase</t>
  </si>
  <si>
    <t>USD bn</t>
  </si>
  <si>
    <t>Selected basket total earnings increase</t>
  </si>
  <si>
    <t>Broad basket share of S&amp;P increase</t>
  </si>
  <si>
    <t>AI-attributed share: low</t>
  </si>
  <si>
    <t>AI-attributed share: base</t>
  </si>
  <si>
    <t>AI-attributed share: high</t>
  </si>
  <si>
    <t>Supplier AI profit contribution: base</t>
  </si>
  <si>
    <t>Platform AI profit contribution: base</t>
  </si>
  <si>
    <t>Hyperscaler and platform AI-attributed earnings increase</t>
  </si>
  <si>
    <t>Total platform earnings increase</t>
  </si>
  <si>
    <t>AI-attributed earnings increase: low</t>
  </si>
  <si>
    <t>AI-attributed earnings increase: base</t>
  </si>
  <si>
    <t>AI-attributed earnings increase: high</t>
  </si>
  <si>
    <t>Share of S&amp;P earnings growth: low</t>
  </si>
  <si>
    <t>Share of S&amp;P earnings growth: base</t>
  </si>
  <si>
    <t>Share of S&amp;P earnings growth: high</t>
  </si>
  <si>
    <t>Supplier downside sensitivity: impact on total CY2027 S&amp;P 500 EPS</t>
  </si>
  <si>
    <t>Scenario</t>
  </si>
  <si>
    <t>Supplier AI profit shock</t>
  </si>
  <si>
    <t>CY2027 total EPS decline</t>
  </si>
  <si>
    <t>Basis: decline relative to total CY2027 S&amp;P 500 EPS of 420, not incremental EPS.</t>
  </si>
  <si>
    <t>How to read the platform result</t>
  </si>
  <si>
    <t>Why a 10% Capex cut can hit suppliers harder</t>
  </si>
  <si>
    <t>A downgrade can create excess inventory. Orders, ASPs and utilization may fall together. The 20% and 30% cases illustrate this non-linearity; they are not forecasts.</t>
  </si>
  <si>
    <t>Current signal</t>
  </si>
  <si>
    <t>The model does not assume an imminent Capex cut. Current guidance still points to rising absolute investment.</t>
  </si>
  <si>
    <t>Scope</t>
  </si>
  <si>
    <t>Consensus and Capex cross-check results overlap and must not be added.</t>
  </si>
  <si>
    <t>Data refresh</t>
  </si>
  <si>
    <t>Update all CY values, provider and as-of date from one snapshot before publication.</t>
  </si>
  <si>
    <t>Measure</t>
  </si>
  <si>
    <t>AI low</t>
  </si>
  <si>
    <t>AI base</t>
  </si>
  <si>
    <t>AI high</t>
  </si>
  <si>
    <t>Platform base</t>
  </si>
  <si>
    <t>Platform low</t>
  </si>
  <si>
    <t>Platform high</t>
  </si>
  <si>
    <t>Consensus Data Request</t>
  </si>
  <si>
    <t>Preferred input is calendarized adjusted net income. Alternative EPS and diluted-share inputs are available.</t>
  </si>
  <si>
    <t>Data needed from Bloomberg, LSEG or FactSet</t>
  </si>
  <si>
    <t>Priority</t>
  </si>
  <si>
    <t>Field</t>
  </si>
  <si>
    <t>Period</t>
  </si>
  <si>
    <t>Basis</t>
  </si>
  <si>
    <t>Where to paste</t>
  </si>
  <si>
    <t>Required?</t>
  </si>
  <si>
    <t>Comment</t>
  </si>
  <si>
    <t>Company adjusted net income</t>
  </si>
  <si>
    <t>CY2025</t>
  </si>
  <si>
    <t>Adjusted / comparable</t>
  </si>
  <si>
    <t>Consensus Input E</t>
  </si>
  <si>
    <t>Yes</t>
  </si>
  <si>
    <t>40 companies</t>
  </si>
  <si>
    <t>Company adjusted net income consensus</t>
  </si>
  <si>
    <t>CY2026 and CY2027</t>
  </si>
  <si>
    <t>Consensus Input F:G</t>
  </si>
  <si>
    <t>Calendarized, not company FY</t>
  </si>
  <si>
    <t>Provider, as-of date and basis</t>
  </si>
  <si>
    <t>Same extract</t>
  </si>
  <si>
    <t>Metadata</t>
  </si>
  <si>
    <t>text/date</t>
  </si>
  <si>
    <t>Consensus Input L:N</t>
  </si>
  <si>
    <t>Use the same snapshot for all companies</t>
  </si>
  <si>
    <t>S&amp;P 500 bottom-up EPS</t>
  </si>
  <si>
    <t>CY2025–CY2027</t>
  </si>
  <si>
    <t>Same earnings basis</t>
  </si>
  <si>
    <t>index points</t>
  </si>
  <si>
    <t>Assumptions B7:B9</t>
  </si>
  <si>
    <t>Same provider and as-of date preferred</t>
  </si>
  <si>
    <t>S&amp;P 500 divisor</t>
  </si>
  <si>
    <t>As-of date</t>
  </si>
  <si>
    <t>Index divisor</t>
  </si>
  <si>
    <t>USD bn per point</t>
  </si>
  <si>
    <t>Assumptions B9</t>
  </si>
  <si>
    <t>Preferred</t>
  </si>
  <si>
    <t>Current workbook uses Dec-2025 value</t>
  </si>
  <si>
    <t>Adjusted EPS and diluted shares</t>
  </si>
  <si>
    <t>CY2025 and CY2026</t>
  </si>
  <si>
    <t>Alternative to net income</t>
  </si>
  <si>
    <t>EPS and bn shares</t>
  </si>
  <si>
    <t>Consensus Input H:K</t>
  </si>
  <si>
    <t>Only if net income unavailable</t>
  </si>
  <si>
    <t>Workbook converts EPS × diluted shares</t>
  </si>
  <si>
    <t>CY2027 adjusted net income consensus</t>
  </si>
  <si>
    <t>CY2027</t>
  </si>
  <si>
    <t>Consensus Input G</t>
  </si>
  <si>
    <t>Required for the 2026→2027 bridge</t>
  </si>
  <si>
    <t>Calendarization rules when the provider cannot deliver CY values</t>
  </si>
  <si>
    <t>Company example</t>
  </si>
  <si>
    <t>Fiscal year end</t>
  </si>
  <si>
    <t>CY2026 annual approximation</t>
  </si>
  <si>
    <t>Preferred method</t>
  </si>
  <si>
    <t>Risk</t>
  </si>
  <si>
    <t>Workbook treatment</t>
  </si>
  <si>
    <t>December year-end</t>
  </si>
  <si>
    <t>Dec</t>
  </si>
  <si>
    <t>FY2026</t>
  </si>
  <si>
    <t>Use FY2026 directly</t>
  </si>
  <si>
    <t>Low</t>
  </si>
  <si>
    <t>No conversion needed</t>
  </si>
  <si>
    <t>Microsoft</t>
  </si>
  <si>
    <t>Jun</t>
  </si>
  <si>
    <t>6/12 FY2026 + 6/12 FY2027</t>
  </si>
  <si>
    <t>Sum calendar-quarter estimates</t>
  </si>
  <si>
    <t>Seasonality</t>
  </si>
  <si>
    <t>User should provide CY value</t>
  </si>
  <si>
    <t>Oracle</t>
  </si>
  <si>
    <t>May</t>
  </si>
  <si>
    <t>5/12 FY2026 + 7/12 FY2027</t>
  </si>
  <si>
    <t>Sum or calendarize quarterly estimates</t>
  </si>
  <si>
    <t>Capex timing</t>
  </si>
  <si>
    <t>NVIDIA</t>
  </si>
  <si>
    <t>Jan</t>
  </si>
  <si>
    <t>1/12 FY2026 + 11/12 FY2027</t>
  </si>
  <si>
    <t>Fast growth makes weighting imprecise</t>
  </si>
  <si>
    <t>Broadcom</t>
  </si>
  <si>
    <t>Oct</t>
  </si>
  <si>
    <t>10/12 FY2026 + 2/12 FY2027</t>
  </si>
  <si>
    <t>Seasonality and acquisitions</t>
  </si>
  <si>
    <t>Preferred delivery format</t>
  </si>
  <si>
    <t>One Excel or CSV table with ticker, company, CY2025–CY2027 adjusted net income, provider, as-of date and earnings basis.</t>
  </si>
  <si>
    <t>If only fiscal-year data are available</t>
  </si>
  <si>
    <t>Provide FY2025, FY2026 and FY2027 estimates plus fiscal year-end month. Calendarization will be added separately.</t>
  </si>
  <si>
    <t>Do not mix</t>
  </si>
  <si>
    <t>Do not mix GAAP net income for one company with adjusted net income for another, and do not mix snapshots from different dates without labeling them.</t>
  </si>
  <si>
    <t>REITs</t>
  </si>
  <si>
    <t>For DLR and EQIX, provide the same net-income basis if possible. FFO/AFFO may be added as a separate diagnostic but cannot be added directly to S&amp;P net income.</t>
  </si>
  <si>
    <t>Consensus Input</t>
  </si>
  <si>
    <t>Paste calendar-year values in yellow cells. CY2025–CY2027 must use one earnings basis and one consensus snapshot.</t>
  </si>
  <si>
    <t>Ticker</t>
  </si>
  <si>
    <t>Company</t>
  </si>
  <si>
    <t>Group</t>
  </si>
  <si>
    <t>FY-end month</t>
  </si>
  <si>
    <t>CY2025 adj. net income</t>
  </si>
  <si>
    <t>CY2026E adj. net income</t>
  </si>
  <si>
    <t>CY2027E adj. net income</t>
  </si>
  <si>
    <t>CY2025 adj. EPS</t>
  </si>
  <si>
    <t>CY2026E adj. EPS</t>
  </si>
  <si>
    <t>CY2027E adj. EPS</t>
  </si>
  <si>
    <t>CY2025 diluted shares (bn)</t>
  </si>
  <si>
    <t>CY2026E diluted shares (bn)</t>
  </si>
  <si>
    <t>CY2027E diluted shares (bn)</t>
  </si>
  <si>
    <t>Provider</t>
  </si>
  <si>
    <t>Earnings basis</t>
  </si>
  <si>
    <t>Notes</t>
  </si>
  <si>
    <t>MSFT</t>
  </si>
  <si>
    <t>Hyperscaler and platform</t>
  </si>
  <si>
    <t>Various Source</t>
  </si>
  <si>
    <t>AMZN</t>
  </si>
  <si>
    <t>Amazon</t>
  </si>
  <si>
    <t>GOOGL</t>
  </si>
  <si>
    <t>Alphabet</t>
  </si>
  <si>
    <t>META</t>
  </si>
  <si>
    <t>Meta Platforms</t>
  </si>
  <si>
    <t>ORCL</t>
  </si>
  <si>
    <t>NVDA</t>
  </si>
  <si>
    <t>Semiconductors</t>
  </si>
  <si>
    <t>AMD</t>
  </si>
  <si>
    <t>Advanced Micro Devices</t>
  </si>
  <si>
    <t>AVGO</t>
  </si>
  <si>
    <t>MU</t>
  </si>
  <si>
    <t>Micron Technology</t>
  </si>
  <si>
    <t>INTC</t>
  </si>
  <si>
    <t>Intel</t>
  </si>
  <si>
    <t>AMAT</t>
  </si>
  <si>
    <t>Applied Materials</t>
  </si>
  <si>
    <t>Semiconductor equipment and EDA</t>
  </si>
  <si>
    <t>LRCX</t>
  </si>
  <si>
    <t>Lam Research</t>
  </si>
  <si>
    <t>KLAC</t>
  </si>
  <si>
    <t>KLA</t>
  </si>
  <si>
    <t>CDNS</t>
  </si>
  <si>
    <t>Cadence Design Systems</t>
  </si>
  <si>
    <t>SNPS</t>
  </si>
  <si>
    <t>Synopsys</t>
  </si>
  <si>
    <t>ANET</t>
  </si>
  <si>
    <t>Arista Networks</t>
  </si>
  <si>
    <t>Networking, optics and connectors</t>
  </si>
  <si>
    <t>CSCO</t>
  </si>
  <si>
    <t>Cisco Systems</t>
  </si>
  <si>
    <t>MRVL</t>
  </si>
  <si>
    <t>Marvell Technology</t>
  </si>
  <si>
    <t>GLW</t>
  </si>
  <si>
    <t>Corning</t>
  </si>
  <si>
    <t>APH</t>
  </si>
  <si>
    <t>Amphenol</t>
  </si>
  <si>
    <t>LITE</t>
  </si>
  <si>
    <t>Lumentum Holdings</t>
  </si>
  <si>
    <t>COHR</t>
  </si>
  <si>
    <t>Coherent</t>
  </si>
  <si>
    <t>DELL</t>
  </si>
  <si>
    <t>Dell Technologies</t>
  </si>
  <si>
    <t>Server and storage systems</t>
  </si>
  <si>
    <t>HPE</t>
  </si>
  <si>
    <t>Hewlett Packard Enterprise</t>
  </si>
  <si>
    <t>SMCI</t>
  </si>
  <si>
    <t>Super Micro Computer</t>
  </si>
  <si>
    <t>WDC</t>
  </si>
  <si>
    <t>Western Digital</t>
  </si>
  <si>
    <t>STX</t>
  </si>
  <si>
    <t>Seagate Technology</t>
  </si>
  <si>
    <t>VRT</t>
  </si>
  <si>
    <t>Vertiv Holdings</t>
  </si>
  <si>
    <t>Power, cooling and electrical</t>
  </si>
  <si>
    <t>ETN</t>
  </si>
  <si>
    <t>Eaton</t>
  </si>
  <si>
    <t>GEV</t>
  </si>
  <si>
    <t>GE Vernova</t>
  </si>
  <si>
    <t>CARR</t>
  </si>
  <si>
    <t>Carrier Global</t>
  </si>
  <si>
    <t>HUBB</t>
  </si>
  <si>
    <t>Hubbell</t>
  </si>
  <si>
    <t>JCI</t>
  </si>
  <si>
    <t>Johnson Controls</t>
  </si>
  <si>
    <t>PWR</t>
  </si>
  <si>
    <t>Quanta Services</t>
  </si>
  <si>
    <t>Construction and engineering</t>
  </si>
  <si>
    <t>EME</t>
  </si>
  <si>
    <t>EMCOR Group</t>
  </si>
  <si>
    <t>TT</t>
  </si>
  <si>
    <t>Trane Technologies</t>
  </si>
  <si>
    <t>DLR</t>
  </si>
  <si>
    <t>Digital Realty</t>
  </si>
  <si>
    <t>Data-center REITs</t>
  </si>
  <si>
    <t>EQIX</t>
  </si>
  <si>
    <t>Equinix</t>
  </si>
  <si>
    <t>CEG</t>
  </si>
  <si>
    <t>Constellation Energy</t>
  </si>
  <si>
    <t>Utilities and power</t>
  </si>
  <si>
    <t>VST</t>
  </si>
  <si>
    <t>Vistra</t>
  </si>
  <si>
    <t>Company Earnings Attribution Model</t>
  </si>
  <si>
    <t>Company consensus bridge for CY2025–CY2027. AI attribution is a research estimate, shown as a range.</t>
  </si>
  <si>
    <t>FY-end</t>
  </si>
  <si>
    <t>CY2025 earnings used</t>
  </si>
  <si>
    <t>CY2026 earnings used</t>
  </si>
  <si>
    <t>CY2027 earnings used</t>
  </si>
  <si>
    <t>2025→2026 increase</t>
  </si>
  <si>
    <t>2026→2027 increase</t>
  </si>
  <si>
    <t>2026 AI profit low</t>
  </si>
  <si>
    <t>2026 AI profit base</t>
  </si>
  <si>
    <t>2026 AI profit high</t>
  </si>
  <si>
    <t>2027 AI profit low</t>
  </si>
  <si>
    <t>2027 AI profit base</t>
  </si>
  <si>
    <t>2027 AI profit high</t>
  </si>
  <si>
    <t>2026 input status</t>
  </si>
  <si>
    <t>2027 input status</t>
  </si>
  <si>
    <t>Attribution rationale</t>
  </si>
  <si>
    <t>AI cloud and applications; diversified earnings base</t>
  </si>
  <si>
    <t>AWS AI and custom silicon; retail earnings remain material</t>
  </si>
  <si>
    <t>Cloud and advertising benefits; investment gains require separation</t>
  </si>
  <si>
    <t>AI affects ads and engagement but is not separately disclosed</t>
  </si>
  <si>
    <t>OCI AI infrastructure and contracts</t>
  </si>
  <si>
    <t>AI accelerator earnings exposure</t>
  </si>
  <si>
    <t>Data-center GPU and CPU exposure</t>
  </si>
  <si>
    <t>Custom silicon and networking</t>
  </si>
  <si>
    <t>HBM and data-center memory</t>
  </si>
  <si>
    <t>AI exposure offset by other businesses and restructuring</t>
  </si>
  <si>
    <t>AI-linked foundry and memory equipment demand</t>
  </si>
  <si>
    <t>Memory and advanced-node equipment</t>
  </si>
  <si>
    <t>Process control exposure</t>
  </si>
  <si>
    <t>AI chip design and platform tools</t>
  </si>
  <si>
    <t>AI chip design tools and IP</t>
  </si>
  <si>
    <t>AI cluster switching and cloud customers</t>
  </si>
  <si>
    <t>Broader networking mix</t>
  </si>
  <si>
    <t>AI interconnect and custom silicon</t>
  </si>
  <si>
    <t>Optical fiber and connectivity</t>
  </si>
  <si>
    <t>High-speed connectors and interconnect</t>
  </si>
  <si>
    <t>Datacenter optical components</t>
  </si>
  <si>
    <t>Optical communications components</t>
  </si>
  <si>
    <t>AI server integration; low system margins</t>
  </si>
  <si>
    <t>Enterprise AI systems</t>
  </si>
  <si>
    <t>High AI-server exposure</t>
  </si>
  <si>
    <t>Data-center storage exposure</t>
  </si>
  <si>
    <t>Power and thermal management</t>
  </si>
  <si>
    <t>Electrical distribution and data-center exposure</t>
  </si>
  <si>
    <t>Grid and generation equipment</t>
  </si>
  <si>
    <t>Cooling systems</t>
  </si>
  <si>
    <t>Electrical components</t>
  </si>
  <si>
    <t>Building systems and cooling</t>
  </si>
  <si>
    <t>Grid and infrastructure construction</t>
  </si>
  <si>
    <t>Electrical and mechanical construction</t>
  </si>
  <si>
    <t>Cooling and building systems</t>
  </si>
  <si>
    <t>Data-center leasing and development; REIT basis requires care</t>
  </si>
  <si>
    <t>Colocation and interconnection</t>
  </si>
  <si>
    <t>Power contracts and data-center demand</t>
  </si>
  <si>
    <t>Power demand and contracting</t>
  </si>
  <si>
    <t>Total / coverage</t>
  </si>
  <si>
    <t>Capex Cross-check</t>
  </si>
  <si>
    <t>Secondary sensitivity only. It does not use company-specific market-share assumptions and does not drive the primary result.</t>
  </si>
  <si>
    <t>Hyperscaler capex proxy</t>
  </si>
  <si>
    <t>2025 capex</t>
  </si>
  <si>
    <t>2026 capex</t>
  </si>
  <si>
    <t>2025 AI share</t>
  </si>
  <si>
    <t>2026 AI share</t>
  </si>
  <si>
    <t>2025 AI capex</t>
  </si>
  <si>
    <t>2026 AI capex</t>
  </si>
  <si>
    <t>Increase</t>
  </si>
  <si>
    <t>Period status</t>
  </si>
  <si>
    <t>Source</t>
  </si>
  <si>
    <t>Calendar year</t>
  </si>
  <si>
    <t>Company disclosure</t>
  </si>
  <si>
    <t>2025 fiscal proxy / 2026 calendar</t>
  </si>
  <si>
    <t>Replace 2025 with calendarized data</t>
  </si>
  <si>
    <t>Meta</t>
  </si>
  <si>
    <t>Oracle / residual</t>
  </si>
  <si>
    <t>Mixed-period proxy</t>
  </si>
  <si>
    <t>Replace with calendarized data</t>
  </si>
  <si>
    <t>Total</t>
  </si>
  <si>
    <t>Category-level sensitivity with separate 2025 and 2026 allocation assumptions</t>
  </si>
  <si>
    <t>Category</t>
  </si>
  <si>
    <t>2025 share</t>
  </si>
  <si>
    <t>2026 share</t>
  </si>
  <si>
    <t>Capex increase</t>
  </si>
  <si>
    <t>S&amp;P capture low</t>
  </si>
  <si>
    <t>S&amp;P capture base</t>
  </si>
  <si>
    <t>S&amp;P capture high</t>
  </si>
  <si>
    <t>Recognition</t>
  </si>
  <si>
    <t>Margin low</t>
  </si>
  <si>
    <t>Margin base</t>
  </si>
  <si>
    <t>Margin high</t>
  </si>
  <si>
    <t>Low profit</t>
  </si>
  <si>
    <t>Base profit</t>
  </si>
  <si>
    <t>High profit</t>
  </si>
  <si>
    <t>Source / rationale</t>
  </si>
  <si>
    <t>Data status</t>
  </si>
  <si>
    <t>Accelerators and custom silicon</t>
  </si>
  <si>
    <t>Server-cost benchmarks and AI accelerator exposure</t>
  </si>
  <si>
    <t>Research assumption</t>
  </si>
  <si>
    <t>Memory</t>
  </si>
  <si>
    <t>Higher memory prices and content in 2026</t>
  </si>
  <si>
    <t>Networking and optics</t>
  </si>
  <si>
    <t>Networking intensity and S&amp;P-listed suppliers</t>
  </si>
  <si>
    <t>Server and storage value-add</t>
  </si>
  <si>
    <t>Excludes accelerator and memory pass-through</t>
  </si>
  <si>
    <t>Higher rack density and cooling requirements</t>
  </si>
  <si>
    <t>Buildings and construction</t>
  </si>
  <si>
    <t>Facility build-out and timing</t>
  </si>
  <si>
    <t>Other, foreign and private</t>
  </si>
  <si>
    <t>No S&amp;P earnings attribution</t>
  </si>
  <si>
    <t>Residual</t>
  </si>
  <si>
    <t>Important</t>
  </si>
  <si>
    <t>The 2025 and 2026 category shares are separate assumptions. Microsoft disclosed that higher component prices added about $25bn to its earlier 2026 capex estimate, so capex growth should not be read as physical volume growth.</t>
  </si>
  <si>
    <t>No vendor market share</t>
  </si>
  <si>
    <t>This cross-check uses aggregate S&amp;P capture ranges by category. It deliberately removes the unsupported company-specific capture values in the prior workbook.</t>
  </si>
  <si>
    <t>Use</t>
  </si>
  <si>
    <t>Compare this range with the consensus-based company result. Do not average the two estimates or add them together.</t>
  </si>
  <si>
    <t>Company-level AI attribution assumptions</t>
  </si>
  <si>
    <t>Model Assumptions</t>
  </si>
  <si>
    <t>S&amp;P 500 calendar-year denominator</t>
  </si>
  <si>
    <t>Base</t>
  </si>
  <si>
    <t>High</t>
  </si>
  <si>
    <t>Value</t>
  </si>
  <si>
    <t>Status / source</t>
  </si>
  <si>
    <t>Other input</t>
  </si>
  <si>
    <t>date</t>
  </si>
  <si>
    <t>Update to match consensus extract</t>
  </si>
  <si>
    <t>Goldman broad AI-beneficiary benchmark</t>
  </si>
  <si>
    <t>% of S&amp;P earnings increase</t>
  </si>
  <si>
    <t>S&amp;P 500 CY2025 adjusted EPS</t>
  </si>
  <si>
    <t>Consensus input</t>
  </si>
  <si>
    <t>Required company count</t>
  </si>
  <si>
    <t>companies</t>
  </si>
  <si>
    <t>S&amp;P 500 CY2026 adjusted EPS</t>
  </si>
  <si>
    <t>S&amp;P 500 CY2027 adjusted EPS</t>
  </si>
  <si>
    <t>User assumption</t>
  </si>
  <si>
    <t>USD bn per index point</t>
  </si>
  <si>
    <t>Dec-2025 published value; update if available</t>
  </si>
  <si>
    <t>2025→2026 EPS increase</t>
  </si>
  <si>
    <t>2026→2027 EPS increase</t>
  </si>
  <si>
    <t>2025→2026 aggregate earnings increase</t>
  </si>
  <si>
    <t>2026→2027 aggregate earnings increase</t>
  </si>
  <si>
    <t>Platform contribution</t>
  </si>
  <si>
    <t>Shows hyperscaler and platform AI profit separately from supplier earnings. The base case is intentionally narrow because non-AI cloud, advertising and retail earnings remain material.</t>
  </si>
  <si>
    <t>Downside sensitivity</t>
  </si>
  <si>
    <t>A 10% Capex cut does not cap supplier profit damage at 10%. Inventory, order cancellations, lower utilization and price declines can produce a larger profit shock.</t>
  </si>
  <si>
    <t>Calendar basis</t>
  </si>
  <si>
    <t>Use CY2025, CY2026 and CY2027. Do not mix fiscal-year values for non-December companies.</t>
  </si>
  <si>
    <t>Use one comparable adjusted basis across the company sample and S&amp;P denominator.</t>
  </si>
  <si>
    <t>Methodology</t>
  </si>
  <si>
    <t>Definitions, period treatment and interpretation boundaries.</t>
  </si>
  <si>
    <t>Topic</t>
  </si>
  <si>
    <t>Rule</t>
  </si>
  <si>
    <t>Formula / example</t>
  </si>
  <si>
    <t>Why it matters</t>
  </si>
  <si>
    <t>Input owner</t>
  </si>
  <si>
    <t>Output</t>
  </si>
  <si>
    <t>Treatment</t>
  </si>
  <si>
    <t>Primary numerator</t>
  </si>
  <si>
    <t>Selected companies' CY2026 minus CY2025 and CY2027 minus CY2026 adjusted net income</t>
  </si>
  <si>
    <t>Σ(NI26-NI25); Σ(NI27-NI26)</t>
  </si>
  <si>
    <t>Closest public comparison with a beneficiary basket</t>
  </si>
  <si>
    <t>User consensus extract</t>
  </si>
  <si>
    <t>Broad basket contribution</t>
  </si>
  <si>
    <t>Basket selection</t>
  </si>
  <si>
    <t>Show separately</t>
  </si>
  <si>
    <t>AI attribution</t>
  </si>
  <si>
    <t>Apply low/base/high company-specific AI shares</t>
  </si>
  <si>
    <t>ΔNI × attribution</t>
  </si>
  <si>
    <t>Separates beneficiary status from causal attribution</t>
  </si>
  <si>
    <t>AI-attributed range</t>
  </si>
  <si>
    <t>Judgment</t>
  </si>
  <si>
    <t>Editable</t>
  </si>
  <si>
    <t>Denominator</t>
  </si>
  <si>
    <t>S&amp;P CY EPS change multiplied by divisor</t>
  </si>
  <si>
    <t>(EPS26-EPS25) × divisor; (EPS27-EPS26) × divisor</t>
  </si>
  <si>
    <t>Converts index points to aggregate dollars</t>
  </si>
  <si>
    <t>Same provider/date preferred</t>
  </si>
  <si>
    <t>S&amp;P earnings increase</t>
  </si>
  <si>
    <t>Divisor changes</t>
  </si>
  <si>
    <t>Update input</t>
  </si>
  <si>
    <t>Calendarization</t>
  </si>
  <si>
    <t>Use calendar-year estimates for every company in CY2025–CY2027</t>
  </si>
  <si>
    <t>Quarter sum preferred</t>
  </si>
  <si>
    <t>Prevents mixed FY periods</t>
  </si>
  <si>
    <t>Data provider or user</t>
  </si>
  <si>
    <t>Comparable earnings</t>
  </si>
  <si>
    <t>Do not mix FY and CY</t>
  </si>
  <si>
    <t>Alternative input</t>
  </si>
  <si>
    <t>Calendarized EPS × diluted shares</t>
  </si>
  <si>
    <t>EPS × shares bn = USD bn</t>
  </si>
  <si>
    <t>Used only when net income unavailable</t>
  </si>
  <si>
    <t>Company earnings</t>
  </si>
  <si>
    <t>Share forecast error</t>
  </si>
  <si>
    <t>Fallback only</t>
  </si>
  <si>
    <t>Capex cross-check</t>
  </si>
  <si>
    <t>Category-level capex change × S&amp;P capture × recognition × margin</t>
  </si>
  <si>
    <t>ΔCapex × capture × recognition × margin</t>
  </si>
  <si>
    <t>Checks order of magnitude</t>
  </si>
  <si>
    <t>Research assumptions</t>
  </si>
  <si>
    <t>Direct-profit range</t>
  </si>
  <si>
    <t>Price versus volume</t>
  </si>
  <si>
    <t>Secondary</t>
  </si>
  <si>
    <t>No addition rule</t>
  </si>
  <si>
    <t>Do not add consensus and capex results</t>
  </si>
  <si>
    <t>Separate estimates</t>
  </si>
  <si>
    <t>They measure overlapping earnings</t>
  </si>
  <si>
    <t>Model rule</t>
  </si>
  <si>
    <t>Two views</t>
  </si>
  <si>
    <t>Double counting</t>
  </si>
  <si>
    <t>Compare only</t>
  </si>
  <si>
    <t>Missing data</t>
  </si>
  <si>
    <t>Leave headline output blank until complete</t>
  </si>
  <si>
    <t>No zero substitution</t>
  </si>
  <si>
    <t>Prevents understated contribution</t>
  </si>
  <si>
    <t>Workbook control</t>
  </si>
  <si>
    <t>Awaiting inputs</t>
  </si>
  <si>
    <t>False precision</t>
  </si>
  <si>
    <t>Gated output</t>
  </si>
  <si>
    <t>Platform AI contribution</t>
  </si>
  <si>
    <t>Hyperscaler and platform earnings increase × attribution range</t>
  </si>
  <si>
    <t>Separate from suppliers</t>
  </si>
  <si>
    <t>Avoids treating all platform profit growth as AI</t>
  </si>
  <si>
    <t>Platform range</t>
  </si>
  <si>
    <t>Disclosure limits</t>
  </si>
  <si>
    <t>Show low/base/high</t>
  </si>
  <si>
    <t>Supplier downside sensitivity</t>
  </si>
  <si>
    <t>Supplier AI-attributed incremental profit × shock rate ÷ divisor ÷ total S&amp;P 500 EPS</t>
  </si>
  <si>
    <t>10%, 20%, 30% supplier-profit shock cases</t>
  </si>
  <si>
    <t>Shows inventory, price and utilization non-linearity</t>
  </si>
  <si>
    <t>Research scenario</t>
  </si>
  <si>
    <t>EPS change and %</t>
  </si>
  <si>
    <t>Not a forecast</t>
  </si>
  <si>
    <t>Keep separate from base case</t>
  </si>
  <si>
    <t>Company type</t>
  </si>
  <si>
    <t>CY conversion if annual data only</t>
  </si>
  <si>
    <t>Example</t>
  </si>
  <si>
    <t>Preferred replacement</t>
  </si>
  <si>
    <t>Current model rule</t>
  </si>
  <si>
    <t>Confidence</t>
  </si>
  <si>
    <t>Note</t>
  </si>
  <si>
    <t>FY2026 = CY2026</t>
  </si>
  <si>
    <t>Amazon, Alphabet, Meta</t>
  </si>
  <si>
    <t>Use FY directly</t>
  </si>
  <si>
    <t>No conversion</t>
  </si>
  <si>
    <t>Confirm exact period end</t>
  </si>
  <si>
    <t>June year-end</t>
  </si>
  <si>
    <t>6/12 FY26 + 6/12 FY27</t>
  </si>
  <si>
    <t>Calendar-quarter sum</t>
  </si>
  <si>
    <t>User supplies CY</t>
  </si>
  <si>
    <t>Medium</t>
  </si>
  <si>
    <t>Annual weighting is approximate</t>
  </si>
  <si>
    <t>May year-end</t>
  </si>
  <si>
    <t>5/12 FY26 + 7/12 FY27</t>
  </si>
  <si>
    <t>AI capex is highly uneven</t>
  </si>
  <si>
    <t>January year-end</t>
  </si>
  <si>
    <t>1/12 FY26 + 11/12 FY27</t>
  </si>
  <si>
    <t>NVIDIA, Dell, Marvell</t>
  </si>
  <si>
    <t>October year-end</t>
  </si>
  <si>
    <t>10/12 FY26 + 2/12 FY27</t>
  </si>
  <si>
    <t>Broadcom, HPE, AMAT, Synopsys</t>
  </si>
  <si>
    <t>Acquisitions can distort comparability</t>
  </si>
  <si>
    <t>Other</t>
  </si>
  <si>
    <t>Weight by months only as fallback</t>
  </si>
  <si>
    <t>Micron, Cisco, JCI</t>
  </si>
  <si>
    <t>Calendarized provider field</t>
  </si>
  <si>
    <t>Document the method</t>
  </si>
  <si>
    <t>Sources</t>
  </si>
  <si>
    <t>Public references support the framework. Yellow research assumptions remain distinct from source data.</t>
  </si>
  <si>
    <t>ID</t>
  </si>
  <si>
    <t>Date</t>
  </si>
  <si>
    <t>Publisher</t>
  </si>
  <si>
    <t>Used for</t>
  </si>
  <si>
    <t>URL</t>
  </si>
  <si>
    <t>S01</t>
  </si>
  <si>
    <t>Goldman Sachs Research</t>
  </si>
  <si>
    <t>CY2026 S&amp;P EPS $340; hyperscaler capex $754bn; beneficiaries about half of earnings growth</t>
  </si>
  <si>
    <t>https://www.goldmansachs.com/insights/articles/s-and-p-500-forecast-to-climb-as-earnings-growth-powers-stocks-higher</t>
  </si>
  <si>
    <t>External forecast</t>
  </si>
  <si>
    <t>S02</t>
  </si>
  <si>
    <t>FactSet</t>
  </si>
  <si>
    <t>S&amp;P bottom-up EPS aggregates median CY estimates for index companies</t>
  </si>
  <si>
    <t>https://insight.factset.com/are-industry-analysts-overestimating-sp-500-eps-for-2026</t>
  </si>
  <si>
    <t>Method reference</t>
  </si>
  <si>
    <t>S03</t>
  </si>
  <si>
    <t>YCharts / S&amp;P data</t>
  </si>
  <si>
    <t>S&amp;P 500 divisor 8,536.69 million</t>
  </si>
  <si>
    <t>https://ycharts.com/indicators/sp_500_divisor</t>
  </si>
  <si>
    <t>Historical value</t>
  </si>
  <si>
    <t>S04</t>
  </si>
  <si>
    <t>About $25bn of earlier CY2026 capex estimate related to higher component pricing</t>
  </si>
  <si>
    <t>https://www.microsoft.com/en-us/investor/events/fy-2026/earnings-fy-2026-q3</t>
  </si>
  <si>
    <t>S05</t>
  </si>
  <si>
    <t>About 60% of technical infrastructure capex in servers and 40% in data centers and networking</t>
  </si>
  <si>
    <t>https://abc.xyz/investor/events/event-details/2025/2025-Q3-Earnings-Call-2025-4OI4Bac_Q9/default.aspx</t>
  </si>
  <si>
    <t>S06</t>
  </si>
  <si>
    <t>Epoch AI</t>
  </si>
  <si>
    <t>Stylized 1GW AI data-center cost breakdown</t>
  </si>
  <si>
    <t>https://epoch.ai/data-insights/ai-datacenter-cost-breakdown</t>
  </si>
  <si>
    <t>External model</t>
  </si>
  <si>
    <t>S07</t>
  </si>
  <si>
    <t>Reuters / LSEG</t>
  </si>
  <si>
    <t>Companies do not consistently disclose AI-only capex</t>
  </si>
  <si>
    <t>https://www.reuters.com/business/ai-investment-boom-puts-big-techs-free-cash-flow-under-pressure-2026-07-22/</t>
  </si>
  <si>
    <t>External estimate</t>
  </si>
  <si>
    <t>S08</t>
  </si>
  <si>
    <t>S&amp;P Dow Jones Indices</t>
  </si>
  <si>
    <t>Current constituent framework and 2026 additions including VRT, LITE, COHR and MRVL</t>
  </si>
  <si>
    <t>https://www.spglobal.com/spdji/en/indices/equity/sp-500/</t>
  </si>
  <si>
    <t>Index membership</t>
  </si>
  <si>
    <t>S09</t>
  </si>
  <si>
    <t>Model research</t>
  </si>
  <si>
    <t>Company AI-attribution ranges and category capture/margin ranges</t>
  </si>
  <si>
    <t>Internal workbook assumptions</t>
  </si>
  <si>
    <t>2026 Low AI attribution</t>
  </si>
  <si>
    <t>2026 Base AI attribution</t>
  </si>
  <si>
    <t>2026 High AI attribution</t>
  </si>
  <si>
    <t>2027 Low AI attribution</t>
  </si>
  <si>
    <t>2027 Base AI attribution</t>
  </si>
  <si>
    <t>2027 High AI attribution</t>
  </si>
  <si>
    <t>AI Earnings portion by selected group</t>
  </si>
  <si>
    <t>Linear supplier impact</t>
  </si>
  <si>
    <t>+ Inventory and price impact</t>
  </si>
  <si>
    <t>+ Margin impact</t>
  </si>
  <si>
    <t>2027 capex</t>
  </si>
  <si>
    <t>2027 AI share</t>
  </si>
  <si>
    <t>CY2027 AI Earnings</t>
  </si>
  <si>
    <t>Other AI profit contribution: base</t>
  </si>
  <si>
    <t>Increase with 5% cut</t>
  </si>
  <si>
    <t>Base attributes 35%–55% of each platform’s incremental profit to AI. Low-to-high captures disclosure uncertainty.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</si>
</sst>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0"/>
    <numFmt numFmtId="167" formatCode="yyyy\-mm\-dd"/>
    <numFmt numFmtId="168" formatCode="#,##0.0;\(#,##0.0\);\-"/>
    <numFmt numFmtId="169" formatCode="#,##0.0"/>
  </numFmts>
  <fonts count="19" x14ac:knownFonts="1">
    <font>
      <sz val="10"/>
      <name val="Arial"/>
      <family val="2"/>
    </font>
    <font>
      <sz val="11"/>
      <name val="Calibri"/>
      <family val="2"/>
    </font>
    <font>
      <b/>
      <sz val="14"/>
      <color rgb="FF17365D"/>
      <name val="Arial"/>
      <family val="2"/>
      <charset val="1"/>
    </font>
    <font>
      <sz val="10"/>
      <color rgb="FF222222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color rgb="FF666666"/>
      <name val="Arial"/>
      <family val="2"/>
      <charset val="1"/>
    </font>
    <font>
      <b/>
      <sz val="10"/>
      <color rgb="FF17365D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262626"/>
      <name val="Arial"/>
      <family val="2"/>
      <charset val="1"/>
    </font>
    <font>
      <b/>
      <sz val="10"/>
      <color rgb="FF222222"/>
      <name val="Arial"/>
      <family val="2"/>
      <charset val="1"/>
    </font>
    <font>
      <b/>
      <i/>
      <sz val="10"/>
      <color rgb="FF666666"/>
      <name val="Arial"/>
      <family val="2"/>
      <charset val="1"/>
    </font>
    <font>
      <b/>
      <sz val="15"/>
      <color rgb="FFFFFFFF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1F4E78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D9EAF7"/>
        <bgColor rgb="FFE2F0D9"/>
      </patternFill>
    </fill>
    <fill>
      <patternFill patternType="solid">
        <fgColor rgb="FF17365D"/>
        <bgColor rgb="FF1F4E78"/>
      </patternFill>
    </fill>
    <fill>
      <patternFill patternType="solid">
        <fgColor rgb="FFF4B183"/>
        <bgColor rgb="FFFF99CC"/>
      </patternFill>
    </fill>
    <fill>
      <patternFill patternType="solid">
        <fgColor rgb="FFF2F2F2"/>
        <bgColor rgb="FFE2F0D9"/>
      </patternFill>
    </fill>
    <fill>
      <patternFill patternType="solid">
        <fgColor rgb="FFFFF2CC"/>
        <bgColor rgb="FFFCE4D6"/>
      </patternFill>
    </fill>
  </fills>
  <borders count="1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17365D"/>
      </top>
      <bottom style="double">
        <color rgb="FF17365D"/>
      </bottom>
      <diagonal/>
    </border>
    <border>
      <left/>
      <right/>
      <top/>
      <bottom style="double">
        <color rgb="FF17365D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3" fillId="2" borderId="0" xfId="1" applyFont="1" applyFill="1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7" fillId="4" borderId="2" xfId="1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vertical="center" wrapText="1"/>
    </xf>
    <xf numFmtId="165" fontId="3" fillId="0" borderId="0" xfId="1" applyNumberFormat="1" applyFont="1" applyAlignment="1">
      <alignment vertical="center" wrapText="1"/>
    </xf>
    <xf numFmtId="165" fontId="8" fillId="0" borderId="0" xfId="1" applyNumberFormat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6" fillId="3" borderId="4" xfId="1" applyFont="1" applyFill="1" applyBorder="1" applyAlignment="1">
      <alignment vertical="center" wrapText="1"/>
    </xf>
    <xf numFmtId="0" fontId="6" fillId="3" borderId="5" xfId="1" applyFont="1" applyFill="1" applyBorder="1" applyAlignment="1">
      <alignment vertical="center" wrapText="1"/>
    </xf>
    <xf numFmtId="0" fontId="10" fillId="0" borderId="0" xfId="1" applyFont="1" applyAlignment="1">
      <alignment vertical="center" wrapText="1"/>
    </xf>
    <xf numFmtId="165" fontId="5" fillId="0" borderId="0" xfId="1" applyNumberFormat="1" applyFont="1" applyAlignment="1">
      <alignment vertical="center" wrapText="1"/>
    </xf>
    <xf numFmtId="164" fontId="5" fillId="0" borderId="0" xfId="1" applyNumberFormat="1" applyFont="1" applyAlignment="1">
      <alignment vertical="center" wrapText="1"/>
    </xf>
    <xf numFmtId="10" fontId="3" fillId="0" borderId="0" xfId="1" applyNumberFormat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vertical="center" wrapText="1"/>
    </xf>
    <xf numFmtId="0" fontId="4" fillId="6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166" fontId="3" fillId="7" borderId="0" xfId="1" applyNumberFormat="1" applyFont="1" applyFill="1" applyAlignment="1">
      <alignment vertical="center" wrapText="1"/>
    </xf>
    <xf numFmtId="0" fontId="3" fillId="7" borderId="0" xfId="1" applyFont="1" applyFill="1" applyAlignment="1">
      <alignment vertical="center" wrapText="1"/>
    </xf>
    <xf numFmtId="167" fontId="3" fillId="7" borderId="0" xfId="1" applyNumberFormat="1" applyFont="1" applyFill="1" applyAlignment="1">
      <alignment vertical="center" wrapText="1"/>
    </xf>
    <xf numFmtId="164" fontId="14" fillId="0" borderId="0" xfId="1" applyNumberFormat="1" applyFont="1" applyAlignment="1">
      <alignment vertical="center" wrapText="1"/>
    </xf>
    <xf numFmtId="164" fontId="3" fillId="7" borderId="0" xfId="1" applyNumberFormat="1" applyFont="1" applyFill="1" applyAlignment="1">
      <alignment vertical="center" wrapText="1"/>
    </xf>
    <xf numFmtId="165" fontId="15" fillId="7" borderId="0" xfId="1" applyNumberFormat="1" applyFont="1" applyFill="1" applyAlignment="1">
      <alignment vertical="center" wrapText="1"/>
    </xf>
    <xf numFmtId="0" fontId="9" fillId="0" borderId="9" xfId="1" applyFont="1" applyBorder="1" applyAlignment="1">
      <alignment vertical="center" wrapText="1"/>
    </xf>
    <xf numFmtId="164" fontId="9" fillId="0" borderId="9" xfId="1" applyNumberFormat="1" applyFont="1" applyBorder="1" applyAlignment="1">
      <alignment vertical="center" wrapText="1"/>
    </xf>
    <xf numFmtId="168" fontId="9" fillId="0" borderId="9" xfId="1" applyNumberFormat="1" applyFont="1" applyBorder="1" applyAlignment="1">
      <alignment vertical="center" wrapText="1"/>
    </xf>
    <xf numFmtId="164" fontId="9" fillId="0" borderId="10" xfId="1" applyNumberFormat="1" applyFont="1" applyBorder="1" applyAlignment="1">
      <alignment vertical="center" wrapText="1"/>
    </xf>
    <xf numFmtId="0" fontId="9" fillId="0" borderId="10" xfId="1" applyFont="1" applyBorder="1" applyAlignment="1">
      <alignment vertical="center" wrapText="1"/>
    </xf>
    <xf numFmtId="169" fontId="16" fillId="7" borderId="0" xfId="1" applyNumberFormat="1" applyFont="1" applyFill="1" applyAlignment="1">
      <alignment vertical="center" wrapText="1"/>
    </xf>
    <xf numFmtId="165" fontId="16" fillId="7" borderId="0" xfId="1" applyNumberFormat="1" applyFont="1" applyFill="1" applyAlignment="1">
      <alignment vertical="center" wrapText="1"/>
    </xf>
    <xf numFmtId="169" fontId="4" fillId="0" borderId="0" xfId="1" applyNumberFormat="1" applyFont="1" applyAlignment="1">
      <alignment vertical="center" wrapText="1"/>
    </xf>
    <xf numFmtId="0" fontId="17" fillId="0" borderId="9" xfId="1" applyFont="1" applyBorder="1" applyAlignment="1">
      <alignment vertical="center" wrapText="1"/>
    </xf>
    <xf numFmtId="169" fontId="17" fillId="0" borderId="9" xfId="1" applyNumberFormat="1" applyFont="1" applyBorder="1" applyAlignment="1">
      <alignment vertical="center" wrapText="1"/>
    </xf>
    <xf numFmtId="165" fontId="17" fillId="0" borderId="9" xfId="1" applyNumberFormat="1" applyFont="1" applyBorder="1" applyAlignment="1">
      <alignment vertical="center" wrapText="1"/>
    </xf>
    <xf numFmtId="0" fontId="7" fillId="4" borderId="0" xfId="1" applyFont="1" applyFill="1" applyAlignment="1">
      <alignment vertical="center" wrapText="1"/>
    </xf>
    <xf numFmtId="167" fontId="15" fillId="7" borderId="0" xfId="1" applyNumberFormat="1" applyFont="1" applyFill="1" applyAlignment="1">
      <alignment vertical="center" wrapText="1"/>
    </xf>
    <xf numFmtId="2" fontId="15" fillId="7" borderId="0" xfId="1" applyNumberFormat="1" applyFont="1" applyFill="1" applyAlignment="1">
      <alignment vertical="center" wrapText="1"/>
    </xf>
    <xf numFmtId="0" fontId="15" fillId="7" borderId="0" xfId="1" applyFont="1" applyFill="1" applyAlignment="1">
      <alignment vertical="center" wrapText="1"/>
    </xf>
    <xf numFmtId="2" fontId="3" fillId="0" borderId="0" xfId="1" applyNumberFormat="1" applyFont="1" applyAlignment="1">
      <alignment vertical="center" wrapText="1"/>
    </xf>
    <xf numFmtId="0" fontId="9" fillId="2" borderId="0" xfId="1" applyFont="1" applyFill="1" applyAlignment="1">
      <alignment vertical="center" wrapText="1"/>
    </xf>
    <xf numFmtId="167" fontId="4" fillId="0" borderId="0" xfId="1" applyNumberFormat="1" applyFont="1" applyAlignment="1">
      <alignment vertical="center" wrapText="1"/>
    </xf>
    <xf numFmtId="164" fontId="3" fillId="0" borderId="11" xfId="1" applyNumberFormat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3" fontId="18" fillId="7" borderId="0" xfId="1" applyNumberFormat="1" applyFont="1" applyFill="1" applyAlignment="1">
      <alignment vertical="center" wrapText="1"/>
    </xf>
    <xf numFmtId="3" fontId="3" fillId="7" borderId="0" xfId="1" applyNumberFormat="1" applyFont="1" applyFill="1" applyAlignment="1">
      <alignment vertical="center" wrapText="1"/>
    </xf>
    <xf numFmtId="0" fontId="18" fillId="0" borderId="0" xfId="1" applyFont="1" applyAlignment="1">
      <alignment vertical="center" wrapText="1"/>
    </xf>
    <xf numFmtId="0" fontId="18" fillId="2" borderId="0" xfId="1" applyFont="1" applyFill="1" applyAlignment="1">
      <alignment vertical="center" wrapText="1"/>
    </xf>
    <xf numFmtId="9" fontId="3" fillId="2" borderId="0" xfId="1" applyNumberFormat="1" applyFont="1" applyFill="1" applyAlignment="1">
      <alignment vertical="center" wrapText="1"/>
    </xf>
    <xf numFmtId="1" fontId="15" fillId="7" borderId="0" xfId="1" applyNumberFormat="1" applyFont="1" applyFill="1" applyAlignment="1">
      <alignment vertical="center" wrapText="1"/>
    </xf>
    <xf numFmtId="0" fontId="3" fillId="0" borderId="0" xfId="1" quotePrefix="1" applyFont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0" fontId="6" fillId="3" borderId="3" xfId="1" applyFont="1" applyFill="1" applyBorder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11" fillId="4" borderId="0" xfId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0" fontId="12" fillId="4" borderId="0" xfId="1" applyFont="1" applyFill="1" applyAlignment="1">
      <alignment vertical="center" wrapText="1"/>
    </xf>
    <xf numFmtId="0" fontId="13" fillId="4" borderId="0" xfId="1" applyFont="1" applyFill="1" applyAlignment="1">
      <alignment vertical="center" wrapText="1"/>
    </xf>
    <xf numFmtId="0" fontId="6" fillId="3" borderId="0" xfId="1" applyFont="1" applyFill="1" applyAlignment="1">
      <alignment vertical="center" wrapText="1"/>
    </xf>
    <xf numFmtId="0" fontId="3" fillId="2" borderId="0" xfId="1" applyFont="1" applyFill="1" applyAlignment="1">
      <alignment vertical="center" wrapText="1"/>
    </xf>
    <xf numFmtId="0" fontId="9" fillId="3" borderId="1" xfId="1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6000000}"/>
  </cellStyles>
  <dxfs count="4">
    <dxf>
      <font>
        <b/>
        <color rgb="FFC00000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A6A6A6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CE4D6"/>
      <rgbColor rgb="FF99CCFF"/>
      <rgbColor rgb="FFFF99CC"/>
      <rgbColor rgb="FFCC99FF"/>
      <rgbColor rgb="FFF4B183"/>
      <rgbColor rgb="FF2F75B5"/>
      <rgbColor rgb="FF33CCCC"/>
      <rgbColor rgb="FF99CC00"/>
      <rgbColor rgb="FFFFCC00"/>
      <rgbColor rgb="FFFF9900"/>
      <rgbColor rgb="FFE97132"/>
      <rgbColor rgb="FF666666"/>
      <rgbColor rgb="FFA5A5A5"/>
      <rgbColor rgb="FF17365D"/>
      <rgbColor rgb="FF339966"/>
      <rgbColor rgb="FF006100"/>
      <rgbColor rgb="FF222222"/>
      <rgbColor rgb="FF993300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NZ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AI share of S&amp;P 500 earnings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2025→2026</c:v>
          </c:tx>
          <c:spPr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Summary!$S$51:$S$54</c:f>
              <c:strCache>
                <c:ptCount val="4"/>
                <c:pt idx="0">
                  <c:v>AI low</c:v>
                </c:pt>
                <c:pt idx="1">
                  <c:v>AI base</c:v>
                </c:pt>
                <c:pt idx="2">
                  <c:v>AI high</c:v>
                </c:pt>
                <c:pt idx="3">
                  <c:v>Platform base</c:v>
                </c:pt>
              </c:strCache>
            </c:strRef>
          </c:cat>
          <c:val>
            <c:numRef>
              <c:f>Summary!$T$51:$T$54</c:f>
              <c:numCache>
                <c:formatCode>0.0%</c:formatCode>
                <c:ptCount val="4"/>
                <c:pt idx="0">
                  <c:v>0.29281471924322355</c:v>
                </c:pt>
                <c:pt idx="1">
                  <c:v>0.35327397132989419</c:v>
                </c:pt>
                <c:pt idx="2">
                  <c:v>0.40788069483020972</c:v>
                </c:pt>
                <c:pt idx="3">
                  <c:v>5.0111804906009978E-2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6-480B-BDB8-49FF9616CFFA}"/>
            </c:ext>
          </c:extLst>
        </c:ser>
        <c:ser>
          <c:idx val="1"/>
          <c:order val="1"/>
          <c:tx>
            <c:v>2026→2027</c:v>
          </c:tx>
          <c:spPr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Summary!$S$51:$S$54</c:f>
              <c:strCache>
                <c:ptCount val="4"/>
                <c:pt idx="0">
                  <c:v>AI low</c:v>
                </c:pt>
                <c:pt idx="1">
                  <c:v>AI base</c:v>
                </c:pt>
                <c:pt idx="2">
                  <c:v>AI high</c:v>
                </c:pt>
                <c:pt idx="3">
                  <c:v>Platform base</c:v>
                </c:pt>
              </c:strCache>
            </c:strRef>
          </c:cat>
          <c:val>
            <c:numRef>
              <c:f>Summary!$U$51:$U$54</c:f>
              <c:numCache>
                <c:formatCode>0.0%</c:formatCode>
                <c:ptCount val="4"/>
                <c:pt idx="0">
                  <c:v>0.6520208824298418</c:v>
                </c:pt>
                <c:pt idx="1">
                  <c:v>0.76282580359773688</c:v>
                </c:pt>
                <c:pt idx="2">
                  <c:v>0.84047843654078647</c:v>
                </c:pt>
                <c:pt idx="3">
                  <c:v>0.10880682545639679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6-480B-BDB8-49FF9616C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37360"/>
        <c:axId val="53430529"/>
      </c:barChart>
      <c:catAx>
        <c:axId val="4923736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3430529"/>
        <c:crosses val="autoZero"/>
        <c:auto val="1"/>
        <c:lblAlgn val="ctr"/>
        <c:lblOffset val="100"/>
        <c:noMultiLvlLbl val="0"/>
      </c:catAx>
      <c:valAx>
        <c:axId val="5343052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9237360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NZ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Platform AI-attributed profit (USD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2025→2026</c:v>
          </c:tx>
          <c:spPr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Summary!$S$58:$S$60</c:f>
              <c:strCache>
                <c:ptCount val="3"/>
                <c:pt idx="0">
                  <c:v>Platform low</c:v>
                </c:pt>
                <c:pt idx="1">
                  <c:v>Platform base</c:v>
                </c:pt>
                <c:pt idx="2">
                  <c:v>Platform high</c:v>
                </c:pt>
              </c:strCache>
            </c:strRef>
          </c:cat>
          <c:val>
            <c:numRef>
              <c:f>Summary!$T$58:$T$60</c:f>
              <c:numCache>
                <c:formatCode>0.0</c:formatCode>
                <c:ptCount val="3"/>
                <c:pt idx="0">
                  <c:v>23.270984862383024</c:v>
                </c:pt>
                <c:pt idx="1">
                  <c:v>36.708569269459041</c:v>
                </c:pt>
                <c:pt idx="2">
                  <c:v>50.732507774766056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A-4889-BADB-FA77C0B34C4D}"/>
            </c:ext>
          </c:extLst>
        </c:ser>
        <c:ser>
          <c:idx val="1"/>
          <c:order val="1"/>
          <c:tx>
            <c:v>2026→2027</c:v>
          </c:tx>
          <c:spPr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Summary!$S$58:$S$60</c:f>
              <c:strCache>
                <c:ptCount val="3"/>
                <c:pt idx="0">
                  <c:v>Platform low</c:v>
                </c:pt>
                <c:pt idx="1">
                  <c:v>Platform base</c:v>
                </c:pt>
                <c:pt idx="2">
                  <c:v>Platform high</c:v>
                </c:pt>
              </c:strCache>
            </c:strRef>
          </c:cat>
          <c:val>
            <c:numRef>
              <c:f>Summary!$U$58:$U$60</c:f>
              <c:numCache>
                <c:formatCode>0.0</c:formatCode>
                <c:ptCount val="3"/>
                <c:pt idx="0">
                  <c:v>37.152911331146058</c:v>
                </c:pt>
                <c:pt idx="1">
                  <c:v>55.731008328322076</c:v>
                </c:pt>
                <c:pt idx="2">
                  <c:v>73.8584276387041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A-4889-BADB-FA77C0B3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0332"/>
        <c:axId val="32248608"/>
      </c:barChart>
      <c:catAx>
        <c:axId val="339033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2248608"/>
        <c:crosses val="autoZero"/>
        <c:auto val="1"/>
        <c:lblAlgn val="ctr"/>
        <c:lblOffset val="100"/>
        <c:noMultiLvlLbl val="0"/>
      </c:catAx>
      <c:valAx>
        <c:axId val="3224860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39033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930310</xdr:colOff>
      <xdr:row>18</xdr:row>
      <xdr:rowOff>18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923960</xdr:colOff>
      <xdr:row>33</xdr:row>
      <xdr:rowOff>380520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egk\Downloads\TalkFile_US_AI_EPS_copy.xlsx.xlsx" TargetMode="External"/><Relationship Id="rId1" Type="http://schemas.openxmlformats.org/officeDocument/2006/relationships/externalLinkPath" Target="TalkFile_US_AI_EPS_copy.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P"/>
      <sheetName val="Value"/>
    </sheetNames>
    <sheetDataSet>
      <sheetData sheetId="0"/>
      <sheetData sheetId="1">
        <row r="1">
          <cell r="AE1">
            <v>0</v>
          </cell>
          <cell r="AF1">
            <v>1</v>
          </cell>
          <cell r="AG1">
            <v>2</v>
          </cell>
          <cell r="AI1">
            <v>0</v>
          </cell>
          <cell r="AJ1">
            <v>1</v>
          </cell>
          <cell r="AK1">
            <v>2</v>
          </cell>
        </row>
        <row r="2">
          <cell r="AE2">
            <v>2025</v>
          </cell>
          <cell r="AF2">
            <v>2026</v>
          </cell>
          <cell r="AG2">
            <v>2027</v>
          </cell>
          <cell r="AI2">
            <v>2025</v>
          </cell>
          <cell r="AJ2">
            <v>2026</v>
          </cell>
          <cell r="AK2">
            <v>2027</v>
          </cell>
        </row>
        <row r="3">
          <cell r="B3" t="str">
            <v>DELL</v>
          </cell>
          <cell r="AE3">
            <v>5365.186331301139</v>
          </cell>
          <cell r="AF3">
            <v>14036.146996003979</v>
          </cell>
          <cell r="AG3">
            <v>19005.972000000002</v>
          </cell>
          <cell r="AI3">
            <v>7.8355529999999991</v>
          </cell>
          <cell r="AJ3">
            <v>21.624397999999999</v>
          </cell>
          <cell r="AK3">
            <v>29.671000000000003</v>
          </cell>
        </row>
        <row r="4">
          <cell r="B4" t="str">
            <v>NVDA</v>
          </cell>
          <cell r="AE4">
            <v>97239.846310683788</v>
          </cell>
          <cell r="AF4">
            <v>197504.48371402448</v>
          </cell>
          <cell r="AG4">
            <v>335424.51800000004</v>
          </cell>
          <cell r="AI4">
            <v>3.9859830000000001</v>
          </cell>
          <cell r="AJ4">
            <v>8.1344370000000001</v>
          </cell>
          <cell r="AK4">
            <v>13.757</v>
          </cell>
        </row>
        <row r="5">
          <cell r="B5" t="str">
            <v>MRVL</v>
          </cell>
          <cell r="AE5">
            <v>1011.4179999999999</v>
          </cell>
          <cell r="AF5">
            <v>2102.7890000000002</v>
          </cell>
          <cell r="AG5">
            <v>5664.5730000000003</v>
          </cell>
          <cell r="AI5">
            <v>1.1744839999999999</v>
          </cell>
          <cell r="AJ5">
            <v>2.3422400000000003</v>
          </cell>
          <cell r="AK5">
            <v>6.1379999999999999</v>
          </cell>
        </row>
        <row r="6">
          <cell r="B6" t="str">
            <v>ORCL</v>
          </cell>
          <cell r="AE6">
            <v>16158.03622873982</v>
          </cell>
          <cell r="AF6">
            <v>19101.303264119841</v>
          </cell>
          <cell r="AG6">
            <v>28114.857</v>
          </cell>
          <cell r="AI6">
            <v>5.708431</v>
          </cell>
          <cell r="AJ6">
            <v>6.422275</v>
          </cell>
          <cell r="AK6">
            <v>9.222999999999999</v>
          </cell>
        </row>
        <row r="7">
          <cell r="B7" t="str">
            <v>CSCO</v>
          </cell>
          <cell r="AE7">
            <v>10992.923295801618</v>
          </cell>
          <cell r="AF7">
            <v>15640.369024327112</v>
          </cell>
          <cell r="AG7">
            <v>20342.567000000003</v>
          </cell>
          <cell r="AI7">
            <v>2.771182</v>
          </cell>
          <cell r="AJ7">
            <v>3.9518430000000002</v>
          </cell>
          <cell r="AK7">
            <v>5.1320000000000006</v>
          </cell>
        </row>
        <row r="8">
          <cell r="B8" t="str">
            <v>MSFT</v>
          </cell>
          <cell r="AE8">
            <v>105403.38</v>
          </cell>
          <cell r="AF8">
            <v>130539.66500000001</v>
          </cell>
          <cell r="AG8">
            <v>153283.42300000001</v>
          </cell>
          <cell r="AI8">
            <v>14.179618000000001</v>
          </cell>
          <cell r="AJ8">
            <v>17.567813000000001</v>
          </cell>
          <cell r="AK8">
            <v>20.428000000000001</v>
          </cell>
        </row>
        <row r="9">
          <cell r="B9" t="str">
            <v>LITE</v>
          </cell>
          <cell r="AE9">
            <v>109.715096428603</v>
          </cell>
          <cell r="AF9">
            <v>887.52247608238395</v>
          </cell>
          <cell r="AG9">
            <v>2557.9340000000002</v>
          </cell>
          <cell r="AI9">
            <v>1.5618270000000001</v>
          </cell>
          <cell r="AJ9">
            <v>10.035530999999999</v>
          </cell>
          <cell r="AK9">
            <v>24.753</v>
          </cell>
        </row>
        <row r="10">
          <cell r="B10" t="str">
            <v>COHR</v>
          </cell>
          <cell r="AE10">
            <v>371.697882331681</v>
          </cell>
          <cell r="AF10">
            <v>1050.57651174578</v>
          </cell>
          <cell r="AG10">
            <v>2223.3379999999997</v>
          </cell>
          <cell r="AI10">
            <v>1.5451999999999999</v>
          </cell>
          <cell r="AJ10">
            <v>5.4591460000000005</v>
          </cell>
          <cell r="AK10">
            <v>10.699</v>
          </cell>
        </row>
        <row r="11">
          <cell r="B11" t="str">
            <v>SMCI</v>
          </cell>
          <cell r="AE11">
            <v>824.72571318342</v>
          </cell>
          <cell r="AF11">
            <v>2879.1320000000001</v>
          </cell>
          <cell r="AG11">
            <v>3685.8310000000001</v>
          </cell>
          <cell r="AI11">
            <v>1.3889590000000001</v>
          </cell>
          <cell r="AJ11">
            <v>4.4070739999999997</v>
          </cell>
          <cell r="AK11">
            <v>4.5720000000000001</v>
          </cell>
        </row>
        <row r="12">
          <cell r="B12" t="str">
            <v>WDC</v>
          </cell>
          <cell r="AE12">
            <v>2543.7634507501634</v>
          </cell>
          <cell r="AF12">
            <v>6138.6274765695216</v>
          </cell>
          <cell r="AG12">
            <v>9097.9240000000009</v>
          </cell>
          <cell r="AI12">
            <v>7.1386959999999995</v>
          </cell>
          <cell r="AJ12">
            <v>16.953223999999999</v>
          </cell>
          <cell r="AK12">
            <v>23.722000000000001</v>
          </cell>
        </row>
        <row r="13">
          <cell r="B13" t="str">
            <v>STX</v>
          </cell>
          <cell r="AE13">
            <v>1796.546960784314</v>
          </cell>
          <cell r="AF13">
            <v>4538.8944326205601</v>
          </cell>
          <cell r="AG13">
            <v>9487.3880000000008</v>
          </cell>
          <cell r="AI13">
            <v>8.461957</v>
          </cell>
          <cell r="AJ13">
            <v>20.172922</v>
          </cell>
          <cell r="AK13">
            <v>41.038000000000004</v>
          </cell>
        </row>
        <row r="14">
          <cell r="B14" t="str">
            <v>LRCX</v>
          </cell>
          <cell r="AE14">
            <v>5765.75913496471</v>
          </cell>
          <cell r="AF14">
            <v>8437.8860040859199</v>
          </cell>
          <cell r="AG14">
            <v>12445.52</v>
          </cell>
          <cell r="AI14">
            <v>4.5177969999999998</v>
          </cell>
          <cell r="AJ14">
            <v>6.7336760000000009</v>
          </cell>
          <cell r="AK14">
            <v>10.026</v>
          </cell>
        </row>
        <row r="15">
          <cell r="B15" t="str">
            <v>KLAC</v>
          </cell>
          <cell r="AE15">
            <v>4630.20381</v>
          </cell>
          <cell r="AF15">
            <v>5327.3220000000001</v>
          </cell>
          <cell r="AG15">
            <v>7773.6260000000002</v>
          </cell>
          <cell r="AI15">
            <v>34.969642999999998</v>
          </cell>
          <cell r="AJ15">
            <v>20.619732999999997</v>
          </cell>
          <cell r="AK15">
            <v>5.9029999999999996</v>
          </cell>
        </row>
        <row r="16">
          <cell r="B16" t="str">
            <v>AVGO</v>
          </cell>
          <cell r="AE16">
            <v>25954.481421400364</v>
          </cell>
          <cell r="AF16">
            <v>49062.536672888891</v>
          </cell>
          <cell r="AG16">
            <v>94280.342999999993</v>
          </cell>
          <cell r="AI16">
            <v>5.5038390000000001</v>
          </cell>
          <cell r="AJ16">
            <v>10.173256</v>
          </cell>
          <cell r="AK16">
            <v>19.082999999999998</v>
          </cell>
        </row>
        <row r="17">
          <cell r="B17" t="str">
            <v>MU</v>
          </cell>
          <cell r="AE17">
            <v>8699.75</v>
          </cell>
          <cell r="AF17">
            <v>84131.625999999989</v>
          </cell>
          <cell r="AG17">
            <v>183907.677</v>
          </cell>
          <cell r="AI17">
            <v>7.7906809999999993</v>
          </cell>
          <cell r="AJ17">
            <v>74.096560999999994</v>
          </cell>
          <cell r="AK17">
            <v>161.166</v>
          </cell>
        </row>
        <row r="18">
          <cell r="B18" t="str">
            <v>JCI</v>
          </cell>
          <cell r="AE18">
            <v>2056.619838420108</v>
          </cell>
          <cell r="AF18">
            <v>3097.1880000000001</v>
          </cell>
          <cell r="AG18">
            <v>3660.6540000000005</v>
          </cell>
          <cell r="AI18">
            <v>3.1585220000000001</v>
          </cell>
          <cell r="AJ18">
            <v>5.0906960000000003</v>
          </cell>
          <cell r="AK18">
            <v>6.0990000000000002</v>
          </cell>
        </row>
        <row r="19">
          <cell r="B19" t="str">
            <v>HPE</v>
          </cell>
          <cell r="AE19">
            <v>1859.4979369295149</v>
          </cell>
          <cell r="AF19">
            <v>4660.4949908256876</v>
          </cell>
          <cell r="AG19">
            <v>6515.378999999999</v>
          </cell>
          <cell r="AI19">
            <v>1.317526</v>
          </cell>
          <cell r="AJ19">
            <v>3.3243910000000003</v>
          </cell>
          <cell r="AK19">
            <v>4.5359999999999996</v>
          </cell>
        </row>
        <row r="20">
          <cell r="B20" t="str">
            <v>AMAT</v>
          </cell>
          <cell r="AE20">
            <v>7545.6329981675599</v>
          </cell>
          <cell r="AF20">
            <v>10222.297227191411</v>
          </cell>
          <cell r="AG20">
            <v>15000.132000000001</v>
          </cell>
          <cell r="AI20">
            <v>9.3858879999999996</v>
          </cell>
          <cell r="AJ20">
            <v>12.888267000000001</v>
          </cell>
          <cell r="AK20">
            <v>18.933</v>
          </cell>
        </row>
        <row r="21">
          <cell r="B21" t="str">
            <v>HPE</v>
          </cell>
          <cell r="AE21">
            <v>1859.4979369295149</v>
          </cell>
          <cell r="AF21">
            <v>4660.4949908256876</v>
          </cell>
          <cell r="AG21">
            <v>6515.378999999999</v>
          </cell>
          <cell r="AI21">
            <v>1.317526</v>
          </cell>
          <cell r="AJ21">
            <v>3.3243910000000003</v>
          </cell>
          <cell r="AK21">
            <v>4.5359999999999996</v>
          </cell>
        </row>
        <row r="22">
          <cell r="B22" t="str">
            <v>SNPS</v>
          </cell>
          <cell r="AE22">
            <v>1133.7328491850481</v>
          </cell>
          <cell r="AF22">
            <v>1291.4495173066009</v>
          </cell>
          <cell r="AG22">
            <v>3470.2830000000004</v>
          </cell>
          <cell r="AI22">
            <v>7.1758559999999996</v>
          </cell>
          <cell r="AJ22">
            <v>6.7076220000000006</v>
          </cell>
          <cell r="AK22">
            <v>17.901999999999997</v>
          </cell>
        </row>
        <row r="23">
          <cell r="B23" t="str">
            <v>AMD</v>
          </cell>
          <cell r="AE23">
            <v>3417.6870371938548</v>
          </cell>
          <cell r="AF23">
            <v>7988.9915160872297</v>
          </cell>
          <cell r="AG23">
            <v>22451.760000000002</v>
          </cell>
          <cell r="AI23">
            <v>2.1052770000000001</v>
          </cell>
          <cell r="AJ23">
            <v>4.8594030000000004</v>
          </cell>
          <cell r="AK23">
            <v>13.367000000000001</v>
          </cell>
        </row>
        <row r="24">
          <cell r="B24" t="str">
            <v>VRT</v>
          </cell>
          <cell r="AE24">
            <v>1070.9450000000002</v>
          </cell>
          <cell r="AF24">
            <v>2080.8380000000002</v>
          </cell>
          <cell r="AG24">
            <v>3275.9870000000001</v>
          </cell>
          <cell r="AI24">
            <v>2.81149</v>
          </cell>
          <cell r="AJ24">
            <v>5.4156550000000001</v>
          </cell>
          <cell r="AK24">
            <v>8.5579999999999998</v>
          </cell>
        </row>
        <row r="25">
          <cell r="B25" t="str">
            <v>ETN</v>
          </cell>
          <cell r="AE25">
            <v>4173</v>
          </cell>
          <cell r="AF25">
            <v>4630.1759999999995</v>
          </cell>
          <cell r="AG25">
            <v>6062.4670000000006</v>
          </cell>
          <cell r="AI25">
            <v>10.664785999999999</v>
          </cell>
          <cell r="AJ25">
            <v>11.907653</v>
          </cell>
          <cell r="AK25">
            <v>15.608000000000001</v>
          </cell>
        </row>
        <row r="26">
          <cell r="B26" t="str">
            <v>GEV</v>
          </cell>
          <cell r="AE26">
            <v>1895.9699999999998</v>
          </cell>
          <cell r="AF26">
            <v>6596.5949999999993</v>
          </cell>
          <cell r="AG26">
            <v>5873.7260000000006</v>
          </cell>
          <cell r="AI26">
            <v>6.9299619999999997</v>
          </cell>
          <cell r="AJ26">
            <v>24.433443999999998</v>
          </cell>
          <cell r="AK26">
            <v>21.911000000000001</v>
          </cell>
        </row>
        <row r="27">
          <cell r="B27" t="str">
            <v>CARR</v>
          </cell>
          <cell r="AE27">
            <v>1572.8211354063083</v>
          </cell>
          <cell r="AF27">
            <v>1624.7518820867408</v>
          </cell>
          <cell r="AG27">
            <v>2640.1379999999999</v>
          </cell>
          <cell r="AI27">
            <v>1.836017</v>
          </cell>
          <cell r="AJ27">
            <v>1.9509110000000001</v>
          </cell>
          <cell r="AK27">
            <v>3.2120000000000002</v>
          </cell>
        </row>
        <row r="28">
          <cell r="B28" t="str">
            <v>HUBB</v>
          </cell>
          <cell r="AE28">
            <v>884.51884103715201</v>
          </cell>
          <cell r="AF28">
            <v>990.763112723934</v>
          </cell>
          <cell r="AG28">
            <v>1176.9989999999998</v>
          </cell>
          <cell r="AI28">
            <v>16.561301</v>
          </cell>
          <cell r="AJ28">
            <v>18.679874999999999</v>
          </cell>
          <cell r="AK28">
            <v>22.28</v>
          </cell>
        </row>
        <row r="29">
          <cell r="B29" t="str">
            <v>PWR</v>
          </cell>
          <cell r="AE29">
            <v>1079.8052746457449</v>
          </cell>
          <cell r="AF29">
            <v>1815.2560233969079</v>
          </cell>
          <cell r="AG29">
            <v>2898</v>
          </cell>
          <cell r="AI29">
            <v>7.2744370000000007</v>
          </cell>
          <cell r="AJ29">
            <v>12.025644</v>
          </cell>
          <cell r="AK29">
            <v>18.870999999999999</v>
          </cell>
        </row>
        <row r="30">
          <cell r="B30" t="str">
            <v>EME</v>
          </cell>
          <cell r="AE30">
            <v>1129.57152</v>
          </cell>
          <cell r="AF30">
            <v>1395.12805</v>
          </cell>
          <cell r="AG30">
            <v>1582</v>
          </cell>
          <cell r="AI30">
            <v>24.935422999999997</v>
          </cell>
          <cell r="AJ30">
            <v>31.397475</v>
          </cell>
          <cell r="AK30">
            <v>35.988</v>
          </cell>
        </row>
        <row r="31">
          <cell r="B31" t="str">
            <v>TT</v>
          </cell>
          <cell r="AE31">
            <v>2907.0909999999999</v>
          </cell>
          <cell r="AF31">
            <v>3237.9225915492962</v>
          </cell>
          <cell r="AG31">
            <v>3739.5160000000005</v>
          </cell>
          <cell r="AI31">
            <v>12.972530000000001</v>
          </cell>
          <cell r="AJ31">
            <v>14.595022</v>
          </cell>
          <cell r="AK31">
            <v>17.041</v>
          </cell>
        </row>
        <row r="32">
          <cell r="B32" t="str">
            <v>DLR</v>
          </cell>
          <cell r="AE32">
            <v>496.58500000000004</v>
          </cell>
          <cell r="AF32">
            <v>1070.64365</v>
          </cell>
          <cell r="AG32">
            <v>959.12299999999993</v>
          </cell>
          <cell r="AI32">
            <v>1.3500859999999999</v>
          </cell>
          <cell r="AJ32">
            <v>2.9719409999999997</v>
          </cell>
          <cell r="AK32">
            <v>2.5259999999999998</v>
          </cell>
        </row>
        <row r="33">
          <cell r="B33" t="str">
            <v>EQIX</v>
          </cell>
          <cell r="AE33">
            <v>1315.0700000000002</v>
          </cell>
          <cell r="AF33">
            <v>1651.288</v>
          </cell>
          <cell r="AG33">
            <v>1793.7739999999999</v>
          </cell>
          <cell r="AI33">
            <v>13.471508</v>
          </cell>
          <cell r="AJ33">
            <v>16.744486000000002</v>
          </cell>
          <cell r="AK33">
            <v>17.956</v>
          </cell>
        </row>
        <row r="34">
          <cell r="B34" t="str">
            <v>CEG</v>
          </cell>
          <cell r="AE34">
            <v>2909.49</v>
          </cell>
          <cell r="AF34">
            <v>3612.105</v>
          </cell>
          <cell r="AG34">
            <v>4689.2860000000001</v>
          </cell>
          <cell r="AI34">
            <v>9.2822639999999996</v>
          </cell>
          <cell r="AJ34">
            <v>10.168365</v>
          </cell>
          <cell r="AK34">
            <v>12.475999999999999</v>
          </cell>
        </row>
        <row r="35">
          <cell r="B35" t="str">
            <v>VST</v>
          </cell>
          <cell r="AE35">
            <v>1845.6200000000001</v>
          </cell>
          <cell r="AF35">
            <v>2609.0990000000002</v>
          </cell>
          <cell r="AG35">
            <v>3546.3330000000001</v>
          </cell>
          <cell r="AI35">
            <v>4.8694829999999998</v>
          </cell>
          <cell r="AJ35">
            <v>7.2403399999999998</v>
          </cell>
          <cell r="AK35">
            <v>10.517000000000001</v>
          </cell>
        </row>
        <row r="36">
          <cell r="B36" t="str">
            <v>AMZN</v>
          </cell>
          <cell r="AE36">
            <v>72208.89</v>
          </cell>
          <cell r="AF36">
            <v>86875.77900000001</v>
          </cell>
          <cell r="AG36">
            <v>129525.84600000001</v>
          </cell>
          <cell r="AI36">
            <v>6.8029929999999998</v>
          </cell>
          <cell r="AJ36">
            <v>8.0658119999999993</v>
          </cell>
          <cell r="AK36">
            <v>11.843</v>
          </cell>
        </row>
        <row r="37">
          <cell r="B37" t="str">
            <v>GOOGL</v>
          </cell>
          <cell r="AE37">
            <v>106760.40000000001</v>
          </cell>
          <cell r="AF37">
            <v>137946.41700000002</v>
          </cell>
          <cell r="AG37">
            <v>179240.011</v>
          </cell>
          <cell r="AI37">
            <v>8.7835640000000001</v>
          </cell>
          <cell r="AJ37">
            <v>11.765675</v>
          </cell>
          <cell r="AK37">
            <v>15.697000000000001</v>
          </cell>
        </row>
        <row r="38">
          <cell r="B38" t="str">
            <v>META</v>
          </cell>
          <cell r="AE38">
            <v>73803.87999999999</v>
          </cell>
          <cell r="AF38">
            <v>88474.229000000007</v>
          </cell>
          <cell r="AG38">
            <v>92335.596000000005</v>
          </cell>
          <cell r="AI38">
            <v>29.254843999999999</v>
          </cell>
          <cell r="AJ38">
            <v>34.706139999999998</v>
          </cell>
          <cell r="AK38">
            <v>34.352000000000004</v>
          </cell>
        </row>
        <row r="39">
          <cell r="B39" t="str">
            <v>GLW</v>
          </cell>
          <cell r="AE39">
            <v>1469</v>
          </cell>
          <cell r="AF39">
            <v>2360.636</v>
          </cell>
          <cell r="AG39">
            <v>3506.4989999999998</v>
          </cell>
          <cell r="AI39">
            <v>1.7174809999999998</v>
          </cell>
          <cell r="AJ39">
            <v>2.735026</v>
          </cell>
          <cell r="AK39">
            <v>3.9970000000000003</v>
          </cell>
        </row>
        <row r="40">
          <cell r="B40" t="str">
            <v>APH</v>
          </cell>
          <cell r="AE40">
            <v>3820.2</v>
          </cell>
          <cell r="AF40">
            <v>6332.9539999999997</v>
          </cell>
          <cell r="AG40">
            <v>7996.5560000000005</v>
          </cell>
          <cell r="AI40">
            <v>3.1449730000000002</v>
          </cell>
          <cell r="AJ40">
            <v>4.3651910000000003</v>
          </cell>
          <cell r="AK40">
            <v>3.081</v>
          </cell>
        </row>
        <row r="41">
          <cell r="B41" t="str">
            <v>INTC</v>
          </cell>
          <cell r="AE41">
            <v>-2966.2668308324173</v>
          </cell>
          <cell r="AF41">
            <v>5740.9385449646306</v>
          </cell>
          <cell r="AG41">
            <v>9931.0480000000007</v>
          </cell>
          <cell r="AI41">
            <v>-0.68976599999999999</v>
          </cell>
          <cell r="AJ41">
            <v>1.1233040000000001</v>
          </cell>
          <cell r="AK41">
            <v>1.8679999999999999</v>
          </cell>
        </row>
        <row r="42">
          <cell r="B42" t="str">
            <v>CDNS</v>
          </cell>
          <cell r="AE42">
            <v>1330.589173504374</v>
          </cell>
          <cell r="AF42">
            <v>1628.3167200765781</v>
          </cell>
          <cell r="AG42">
            <v>2428.7710000000002</v>
          </cell>
          <cell r="AI42">
            <v>4.8983569999999999</v>
          </cell>
          <cell r="AJ42">
            <v>5.9456319999999998</v>
          </cell>
          <cell r="AK42">
            <v>8.9740000000000002</v>
          </cell>
        </row>
        <row r="43">
          <cell r="B43" t="str">
            <v>ANET</v>
          </cell>
          <cell r="AE43">
            <v>3322.7495740740742</v>
          </cell>
          <cell r="AF43">
            <v>4502.3011532390756</v>
          </cell>
          <cell r="AG43">
            <v>6273.241</v>
          </cell>
          <cell r="AI43">
            <v>2.6401460000000001</v>
          </cell>
          <cell r="AJ43">
            <v>3.555561</v>
          </cell>
          <cell r="AK43">
            <v>4.9129999999999994</v>
          </cell>
        </row>
      </sheetData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Z251"/>
  <sheetViews>
    <sheetView showGridLines="0" tabSelected="1" zoomScale="115" zoomScaleNormal="115" workbookViewId="0">
      <pane ySplit="3" topLeftCell="A30" activePane="bottomLeft" state="frozen"/>
      <selection pane="bottomLeft" activeCell="E40" sqref="E40"/>
    </sheetView>
  </sheetViews>
  <sheetFormatPr defaultColWidth="8.6328125" defaultRowHeight="12.5" x14ac:dyDescent="0.25"/>
  <cols>
    <col min="1" max="1" width="48" customWidth="1"/>
    <col min="2" max="2" width="26" customWidth="1"/>
    <col min="3" max="6" width="16" customWidth="1"/>
    <col min="7" max="8" width="12" customWidth="1"/>
    <col min="9" max="9" width="11.36328125" bestFit="1" customWidth="1"/>
    <col min="10" max="17" width="16" customWidth="1"/>
  </cols>
  <sheetData>
    <row r="1" spans="1:26" ht="28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3"/>
      <c r="S1" s="3"/>
      <c r="T1" s="3"/>
      <c r="U1" s="3"/>
      <c r="V1" s="2"/>
      <c r="W1" s="2"/>
      <c r="X1" s="2"/>
      <c r="Y1" s="2"/>
      <c r="Z1" s="2"/>
    </row>
    <row r="2" spans="1:26" ht="22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"/>
      <c r="S2" s="3"/>
      <c r="T2" s="3"/>
      <c r="U2" s="3"/>
      <c r="V2" s="2"/>
      <c r="W2" s="2"/>
      <c r="X2" s="2"/>
      <c r="Y2" s="2"/>
      <c r="Z2" s="2"/>
    </row>
    <row r="3" spans="1:26" ht="36" customHeight="1" x14ac:dyDescent="0.25">
      <c r="A3" s="4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 ht="20" customHeight="1" x14ac:dyDescent="0.25">
      <c r="A4" s="56" t="s">
        <v>1</v>
      </c>
      <c r="B4" s="56"/>
      <c r="C4" s="56"/>
      <c r="D4" s="5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 ht="20" customHeight="1" x14ac:dyDescent="0.25">
      <c r="A5" s="5" t="s">
        <v>2</v>
      </c>
      <c r="B5" s="5" t="s">
        <v>3</v>
      </c>
      <c r="C5" s="5" t="s">
        <v>4</v>
      </c>
      <c r="D5" s="5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2"/>
      <c r="W5" s="2"/>
      <c r="X5" s="2"/>
      <c r="Y5" s="2"/>
      <c r="Z5" s="2"/>
    </row>
    <row r="6" spans="1:26" ht="20" customHeight="1" x14ac:dyDescent="0.25">
      <c r="A6" s="3" t="s">
        <v>6</v>
      </c>
      <c r="B6" s="3">
        <f>Assumptions!G7</f>
        <v>40</v>
      </c>
      <c r="C6" s="3">
        <f>Assumptions!G7</f>
        <v>40</v>
      </c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2"/>
      <c r="W6" s="2"/>
      <c r="X6" s="2"/>
      <c r="Y6" s="2"/>
      <c r="Z6" s="2"/>
    </row>
    <row r="7" spans="1:26" ht="20" customHeight="1" x14ac:dyDescent="0.25">
      <c r="A7" s="3" t="s">
        <v>8</v>
      </c>
      <c r="B7" s="3">
        <f>'Company Model'!W45</f>
        <v>40</v>
      </c>
      <c r="C7" s="3">
        <f>'Company Model'!X45</f>
        <v>40</v>
      </c>
      <c r="D7" s="3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2"/>
      <c r="W7" s="2"/>
      <c r="X7" s="2"/>
      <c r="Y7" s="2"/>
      <c r="Z7" s="2"/>
    </row>
    <row r="8" spans="1:26" ht="20" customHeight="1" x14ac:dyDescent="0.25">
      <c r="A8" s="3" t="s">
        <v>10</v>
      </c>
      <c r="B8" s="3">
        <f>B6-B7</f>
        <v>0</v>
      </c>
      <c r="C8" s="3">
        <f>C6-C7</f>
        <v>0</v>
      </c>
      <c r="D8" s="3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/>
      <c r="W8" s="2"/>
      <c r="X8" s="2"/>
      <c r="Y8" s="2"/>
      <c r="Z8" s="2"/>
    </row>
    <row r="9" spans="1:26" ht="20" customHeight="1" x14ac:dyDescent="0.25">
      <c r="A9" s="3" t="s">
        <v>11</v>
      </c>
      <c r="B9" s="60" t="str">
        <f>IF(B8=0,"Ready","Awaiting inputs")</f>
        <v>Ready</v>
      </c>
      <c r="C9" s="60" t="str">
        <f>IF(C8=0,"Ready","Awaiting inputs")</f>
        <v>Ready</v>
      </c>
      <c r="D9" s="3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/>
      <c r="W9" s="2"/>
      <c r="X9" s="2"/>
      <c r="Y9" s="2"/>
      <c r="Z9" s="2"/>
    </row>
    <row r="10" spans="1:26" ht="20" customHeight="1" x14ac:dyDescent="0.25">
      <c r="A10" s="3" t="s">
        <v>12</v>
      </c>
      <c r="B10" s="3" t="str">
        <f>Assumptions!B7&amp;" → "&amp;Assumptions!B8</f>
        <v>274.19 → 360</v>
      </c>
      <c r="C10" s="3" t="str">
        <f>Assumptions!B8&amp;" → "&amp;Assumptions!B9</f>
        <v>360 → 420</v>
      </c>
      <c r="D10" s="3" t="s">
        <v>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"/>
      <c r="W10" s="2"/>
      <c r="X10" s="2"/>
      <c r="Y10" s="2"/>
      <c r="Z10" s="2"/>
    </row>
    <row r="11" spans="1:26" ht="20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2"/>
      <c r="W11" s="2"/>
      <c r="X11" s="2"/>
      <c r="Y11" s="2"/>
      <c r="Z11" s="2"/>
    </row>
    <row r="12" spans="1:26" ht="20" customHeight="1" x14ac:dyDescent="0.25">
      <c r="A12" s="56" t="s">
        <v>14</v>
      </c>
      <c r="B12" s="56"/>
      <c r="C12" s="56"/>
      <c r="D12" s="5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"/>
      <c r="W12" s="2"/>
      <c r="X12" s="2"/>
      <c r="Y12" s="2"/>
      <c r="Z12" s="2"/>
    </row>
    <row r="13" spans="1:26" ht="20" customHeight="1" x14ac:dyDescent="0.25">
      <c r="A13" s="5" t="s">
        <v>2</v>
      </c>
      <c r="B13" s="5" t="s">
        <v>3</v>
      </c>
      <c r="C13" s="5" t="s">
        <v>4</v>
      </c>
      <c r="D13" s="5" t="s">
        <v>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/>
      <c r="W13" s="2"/>
      <c r="X13" s="2"/>
      <c r="Y13" s="2"/>
      <c r="Z13" s="2"/>
    </row>
    <row r="14" spans="1:26" ht="20" customHeight="1" x14ac:dyDescent="0.25">
      <c r="A14" s="3" t="s">
        <v>16</v>
      </c>
      <c r="B14" s="6">
        <f>Assumptions!B13</f>
        <v>732.53336890000003</v>
      </c>
      <c r="C14" s="6">
        <f>Assumptions!B14</f>
        <v>512.20140000000004</v>
      </c>
      <c r="D14" s="3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/>
      <c r="W14" s="2"/>
      <c r="X14" s="2"/>
      <c r="Y14" s="2"/>
      <c r="Z14" s="2"/>
    </row>
    <row r="15" spans="1:26" ht="20" customHeight="1" x14ac:dyDescent="0.25">
      <c r="A15" s="3" t="s">
        <v>18</v>
      </c>
      <c r="B15" s="6">
        <f>'Company Model'!H45</f>
        <v>349.9049055678156</v>
      </c>
      <c r="C15" s="6">
        <f>'Company Model'!I45</f>
        <v>474.05317644808343</v>
      </c>
      <c r="D15" s="3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"/>
      <c r="W15" s="2"/>
      <c r="X15" s="2"/>
      <c r="Y15" s="2"/>
      <c r="Z15" s="2"/>
    </row>
    <row r="16" spans="1:26" ht="20" customHeight="1" x14ac:dyDescent="0.25">
      <c r="A16" s="3" t="s">
        <v>19</v>
      </c>
      <c r="B16" s="7">
        <f>B15/B14</f>
        <v>0.47766411800904868</v>
      </c>
      <c r="C16" s="7">
        <f>C15/C14</f>
        <v>0.92552104786922373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"/>
      <c r="W16" s="2"/>
      <c r="X16" s="2"/>
      <c r="Y16" s="2"/>
      <c r="Z16" s="2"/>
    </row>
    <row r="17" spans="1:26" ht="20" customHeight="1" x14ac:dyDescent="0.25">
      <c r="A17" s="3" t="s">
        <v>20</v>
      </c>
      <c r="B17" s="7">
        <f>(('Company Model'!P45-SUMIF('Company Model'!$C$5:$C$44,"Hyperscaler and platform",'Company Model'!$P$5:$P$44))/Assumptions!B15+SUMIF('Company Model'!$C$5:$C$44,"Hyperscaler and platform",'Company Model'!$P$5:$P$44))/B14</f>
        <v>0.29281471924322355</v>
      </c>
      <c r="C17" s="7">
        <f>(('Company Model'!S45-SUMIF('Company Model'!$C$5:$C$44,"Hyperscaler and platform",'Company Model'!$S$5:$S$44))/Assumptions!B15+SUMIF('Company Model'!$C$5:$C$44,"Hyperscaler and platform",'Company Model'!$S$5:$S$44))/C14</f>
        <v>0.6520208824298418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"/>
      <c r="W17" s="2"/>
      <c r="X17" s="2"/>
      <c r="Y17" s="2"/>
      <c r="Z17" s="2"/>
    </row>
    <row r="18" spans="1:26" ht="20" customHeight="1" x14ac:dyDescent="0.25">
      <c r="A18" s="3" t="s">
        <v>21</v>
      </c>
      <c r="B18" s="7">
        <f>(('Company Model'!Q45-SUMIF('Company Model'!$C$5:$C$44,"Hyperscaler and platform",'Company Model'!$Q$5:$Q$44))/Assumptions!B15+SUMIF('Company Model'!$C$5:$C$44,"Hyperscaler and platform",'Company Model'!$Q$5:$Q$44))/B14</f>
        <v>0.35327397132989419</v>
      </c>
      <c r="C18" s="7">
        <f>(('Company Model'!T45-SUMIF('Company Model'!$C$5:$C$44,"Hyperscaler and platform",'Company Model'!$T$5:$T$44))/Assumptions!B15+SUMIF('Company Model'!$C$5:$C$44,"Hyperscaler and platform",'Company Model'!$T$5:$T$44))/C14</f>
        <v>0.76282580359773688</v>
      </c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2"/>
      <c r="W18" s="2"/>
      <c r="X18" s="2"/>
      <c r="Y18" s="2"/>
      <c r="Z18" s="2"/>
    </row>
    <row r="19" spans="1:26" ht="20" customHeight="1" x14ac:dyDescent="0.25">
      <c r="A19" s="3" t="s">
        <v>22</v>
      </c>
      <c r="B19" s="7">
        <f>(('Company Model'!R45-SUMIF('Company Model'!$C$5:$C$44,"Hyperscaler and platform",'Company Model'!$R$5:$R$44))/Assumptions!B15+SUMIF('Company Model'!$C$5:$C$44,"Hyperscaler and platform",'Company Model'!$R$5:$R$44))/B14</f>
        <v>0.40788069483020972</v>
      </c>
      <c r="C19" s="7">
        <f>(('Company Model'!U45-SUMIF('Company Model'!$C$5:$C$44,"Hyperscaler and platform",'Company Model'!$U$5:$U$44))/Assumptions!B15+SUMIF('Company Model'!$C$5:$C$44,"Hyperscaler and platform",'Company Model'!$U$5:$U$44))/C14</f>
        <v>0.84047843654078647</v>
      </c>
      <c r="D19" s="6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2"/>
      <c r="W19" s="2"/>
      <c r="X19" s="2"/>
      <c r="Y19" s="2"/>
      <c r="Z19" s="2"/>
    </row>
    <row r="20" spans="1:26" ht="20" customHeight="1" x14ac:dyDescent="0.25">
      <c r="A20" s="3" t="s">
        <v>23</v>
      </c>
      <c r="B20" s="7">
        <f>('Company Model'!Q45-SUMIF('Company Model'!$C$5:$C$44,"Hyperscaler and platform",'Company Model'!$Q$5:$Q$44))/B14</f>
        <v>0.27284594978149584</v>
      </c>
      <c r="C20" s="7">
        <f>('Company Model'!T45-SUMIF('Company Model'!$C$5:$C$44,"Hyperscaler and platform",'Company Model'!$T$5:$T$44))/C14</f>
        <v>0.58861708032720617</v>
      </c>
      <c r="D20" s="6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2"/>
      <c r="W20" s="2"/>
      <c r="X20" s="2"/>
      <c r="Y20" s="2"/>
      <c r="Z20" s="2"/>
    </row>
    <row r="21" spans="1:26" ht="20" customHeight="1" x14ac:dyDescent="0.25">
      <c r="A21" s="3" t="s">
        <v>24</v>
      </c>
      <c r="B21" s="7">
        <f>SUMIF('Company Model'!$C$5:$C$44,"Hyperscaler and platform",'Company Model'!$Q$5:$Q$44)/B14</f>
        <v>5.0111804906009978E-2</v>
      </c>
      <c r="C21" s="7">
        <f>SUMIF('Company Model'!$C$5:$C$44,"Hyperscaler and platform",'Company Model'!$T$5:$T$44)/C14</f>
        <v>0.10880682545639679</v>
      </c>
      <c r="D21" s="6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2"/>
      <c r="W21" s="2"/>
      <c r="X21" s="2"/>
      <c r="Y21" s="2"/>
      <c r="Z21" s="2"/>
    </row>
    <row r="22" spans="1:26" ht="20" customHeight="1" x14ac:dyDescent="0.25">
      <c r="A22" s="3" t="s">
        <v>574</v>
      </c>
      <c r="B22" s="7">
        <f>B18-B20-B21</f>
        <v>3.0316216642388365E-2</v>
      </c>
      <c r="C22" s="7">
        <f>C18-C20-C21</f>
        <v>6.5401897814133927E-2</v>
      </c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"/>
      <c r="W22" s="2"/>
      <c r="X22" s="2"/>
      <c r="Y22" s="2"/>
      <c r="Z22" s="2"/>
    </row>
    <row r="23" spans="1:26" ht="20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"/>
      <c r="W23" s="2"/>
      <c r="X23" s="2"/>
      <c r="Y23" s="2"/>
      <c r="Z23" s="2"/>
    </row>
    <row r="24" spans="1:26" ht="20" customHeight="1" x14ac:dyDescent="0.25">
      <c r="A24" s="56" t="s">
        <v>25</v>
      </c>
      <c r="B24" s="56"/>
      <c r="C24" s="56"/>
      <c r="D24" s="5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"/>
      <c r="W24" s="2"/>
      <c r="X24" s="2"/>
      <c r="Y24" s="2"/>
      <c r="Z24" s="2"/>
    </row>
    <row r="25" spans="1:26" ht="20" customHeight="1" x14ac:dyDescent="0.25">
      <c r="A25" s="5" t="s">
        <v>2</v>
      </c>
      <c r="B25" s="5" t="s">
        <v>3</v>
      </c>
      <c r="C25" s="5" t="s">
        <v>4</v>
      </c>
      <c r="D25" s="5" t="s">
        <v>15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"/>
      <c r="W25" s="2"/>
      <c r="X25" s="2"/>
      <c r="Y25" s="2"/>
      <c r="Z25" s="2"/>
    </row>
    <row r="26" spans="1:26" ht="20" customHeight="1" x14ac:dyDescent="0.25">
      <c r="A26" s="3" t="s">
        <v>26</v>
      </c>
      <c r="B26" s="6">
        <f>SUMIF('Company Model'!$C$5:$C$44,"Hyperscaler and platform",'Company Model'!$H$5:$H$44)</f>
        <v>88.602807035380081</v>
      </c>
      <c r="C26" s="6">
        <f>SUMIF('Company Model'!$C$5:$C$44,"Hyperscaler and platform",'Company Model'!$I$5:$I$44)</f>
        <v>119.5623397358801</v>
      </c>
      <c r="D26" s="3" t="s">
        <v>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"/>
      <c r="W26" s="2"/>
      <c r="X26" s="2"/>
      <c r="Y26" s="2"/>
      <c r="Z26" s="2"/>
    </row>
    <row r="27" spans="1:26" ht="20" customHeight="1" x14ac:dyDescent="0.25">
      <c r="A27" s="3" t="s">
        <v>27</v>
      </c>
      <c r="B27" s="6">
        <f>SUMIF('Company Model'!$C$5:$C$44,"Hyperscaler and platform",'Company Model'!$P$5:$P$44)</f>
        <v>23.270984862383024</v>
      </c>
      <c r="C27" s="6">
        <f>SUMIF('Company Model'!$C$5:$C$44,"Hyperscaler and platform",'Company Model'!$S$5:$S$44)</f>
        <v>37.152911331146058</v>
      </c>
      <c r="D27" s="3" t="s">
        <v>17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/>
      <c r="W27" s="2"/>
      <c r="X27" s="2"/>
      <c r="Y27" s="2"/>
      <c r="Z27" s="2"/>
    </row>
    <row r="28" spans="1:26" ht="20" customHeight="1" x14ac:dyDescent="0.25">
      <c r="A28" s="3" t="s">
        <v>28</v>
      </c>
      <c r="B28" s="6">
        <f>SUMIF('Company Model'!$C$5:$C$44,"Hyperscaler and platform",'Company Model'!$Q$5:$Q$44)</f>
        <v>36.708569269459041</v>
      </c>
      <c r="C28" s="6">
        <f>SUMIF('Company Model'!$C$5:$C$44,"Hyperscaler and platform",'Company Model'!$T$5:$T$44)</f>
        <v>55.731008328322076</v>
      </c>
      <c r="D28" s="3" t="s">
        <v>17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"/>
      <c r="W28" s="2"/>
      <c r="X28" s="2"/>
      <c r="Y28" s="2"/>
      <c r="Z28" s="2"/>
    </row>
    <row r="29" spans="1:26" ht="20" customHeight="1" x14ac:dyDescent="0.25">
      <c r="A29" s="3" t="s">
        <v>29</v>
      </c>
      <c r="B29" s="6">
        <f>SUMIF('Company Model'!$C$5:$C$44,"Hyperscaler and platform",'Company Model'!$R$5:$R$44)</f>
        <v>50.732507774766056</v>
      </c>
      <c r="C29" s="6">
        <f>SUMIF('Company Model'!$C$5:$C$44,"Hyperscaler and platform",'Company Model'!$U$5:$U$44)</f>
        <v>73.8584276387041</v>
      </c>
      <c r="D29" s="3" t="s">
        <v>17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"/>
      <c r="W29" s="2"/>
      <c r="X29" s="2"/>
      <c r="Y29" s="2"/>
      <c r="Z29" s="2"/>
    </row>
    <row r="30" spans="1:26" ht="20" customHeight="1" x14ac:dyDescent="0.25">
      <c r="A30" s="3" t="s">
        <v>30</v>
      </c>
      <c r="B30" s="8">
        <f>B27/$B$14</f>
        <v>3.1767815433892954E-2</v>
      </c>
      <c r="C30" s="8">
        <f>C27/$C$14</f>
        <v>7.2535747327410777E-2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"/>
      <c r="W30" s="2"/>
      <c r="X30" s="2"/>
      <c r="Y30" s="2"/>
      <c r="Z30" s="2"/>
    </row>
    <row r="31" spans="1:26" ht="20" customHeight="1" x14ac:dyDescent="0.25">
      <c r="A31" s="3" t="s">
        <v>31</v>
      </c>
      <c r="B31" s="8">
        <f>B28/$B$14</f>
        <v>5.0111804906009978E-2</v>
      </c>
      <c r="C31" s="8">
        <f>C28/$C$14</f>
        <v>0.10880682545639679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/>
      <c r="W31" s="2"/>
      <c r="X31" s="2"/>
      <c r="Y31" s="2"/>
      <c r="Z31" s="2"/>
    </row>
    <row r="32" spans="1:26" ht="20" customHeight="1" x14ac:dyDescent="0.25">
      <c r="A32" s="51" t="s">
        <v>32</v>
      </c>
      <c r="B32" s="8">
        <f>SUMIF('Company Model'!$C$5:$C$44,"Hyperscaler and platform",'Company Model'!$R$5:$R$44)/$B$14</f>
        <v>6.9256241324470877E-2</v>
      </c>
      <c r="C32" s="8">
        <f>SUMIF('Company Model'!$C$5:$C$44,"Hyperscaler and platform",'Company Model'!$U$5:$U$44)/$C$14</f>
        <v>0.14419801983888386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/>
      <c r="W32" s="2"/>
      <c r="X32" s="2"/>
      <c r="Y32" s="2"/>
      <c r="Z32" s="2"/>
    </row>
    <row r="33" spans="1:26" ht="28" customHeight="1" x14ac:dyDescent="0.25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/>
      <c r="W33" s="2"/>
      <c r="X33" s="2"/>
      <c r="Y33" s="2"/>
      <c r="Z33" s="2"/>
    </row>
    <row r="34" spans="1:26" ht="30" customHeight="1" x14ac:dyDescent="0.25">
      <c r="A34" s="57" t="s">
        <v>33</v>
      </c>
      <c r="B34" s="57"/>
      <c r="C34" s="57"/>
      <c r="D34" s="10"/>
      <c r="E34" s="10"/>
      <c r="F34" s="1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/>
      <c r="W34" s="2"/>
      <c r="X34" s="2"/>
      <c r="Y34" s="2"/>
      <c r="Z34" s="2"/>
    </row>
    <row r="35" spans="1:26" ht="32" customHeight="1" x14ac:dyDescent="0.25">
      <c r="A35" s="5" t="s">
        <v>34</v>
      </c>
      <c r="B35" s="5" t="s">
        <v>35</v>
      </c>
      <c r="C35" s="5" t="s">
        <v>36</v>
      </c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"/>
      <c r="W35" s="2"/>
      <c r="X35" s="2"/>
      <c r="Y35" s="2"/>
      <c r="Z35" s="2"/>
    </row>
    <row r="36" spans="1:26" ht="20" customHeight="1" x14ac:dyDescent="0.25">
      <c r="A36" s="12" t="s">
        <v>37</v>
      </c>
      <c r="B36" s="13"/>
      <c r="C36" s="14"/>
      <c r="D36" s="15"/>
      <c r="E36" s="6"/>
      <c r="F36" s="1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"/>
      <c r="W36" s="2"/>
      <c r="X36" s="2"/>
      <c r="Y36" s="2"/>
      <c r="Z36" s="2"/>
    </row>
    <row r="37" spans="1:26" ht="20" customHeight="1" x14ac:dyDescent="0.25">
      <c r="A37" s="3" t="s">
        <v>568</v>
      </c>
      <c r="B37" s="7">
        <v>0.05</v>
      </c>
      <c r="C37" s="15">
        <f>('Company Model'!T45-SUMIF('Company Model'!$C$5:$C$44,"Hyperscaler and platform",'Company Model'!$T$5:$T$44))*(1-'Capex Cross-check'!N11/'Capex Cross-check'!M11)/Assumptions!B10/Assumptions!B9</f>
        <v>2.2426261199668323E-2</v>
      </c>
      <c r="D37" s="15"/>
      <c r="E37" s="6"/>
      <c r="F37" s="1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/>
      <c r="W37" s="2"/>
      <c r="X37" s="2"/>
      <c r="Y37" s="2"/>
      <c r="Z37" s="2"/>
    </row>
    <row r="38" spans="1:26" ht="20" customHeight="1" x14ac:dyDescent="0.25">
      <c r="A38" s="55" t="s">
        <v>569</v>
      </c>
      <c r="B38" s="7">
        <v>0.15</v>
      </c>
      <c r="C38" s="15">
        <f>(('Company Model'!T45-SUMIF('Company Model'!$C$5:$C$44,"Hyperscaler and platform",'Company Model'!$T$5:$T$44))*(1-'Capex Cross-check'!N11/'Capex Cross-check'!M11)+('Company Model'!V45-SUMIF('Company Model'!$C$5:$C$44,"Hyperscaler and platform",'Company Model'!$V$5:$V$44))/Assumptions!B15*B38)/Assumptions!B10/Assumptions!B9</f>
        <v>5.3735319459898449E-2</v>
      </c>
      <c r="D38" s="15"/>
      <c r="E38" s="6"/>
      <c r="F38" s="1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2"/>
      <c r="W38" s="2"/>
      <c r="X38" s="2"/>
      <c r="Y38" s="2"/>
      <c r="Z38" s="2"/>
    </row>
    <row r="39" spans="1:26" ht="20" customHeight="1" x14ac:dyDescent="0.25">
      <c r="A39" s="55" t="s">
        <v>570</v>
      </c>
      <c r="B39" s="7">
        <v>0.15</v>
      </c>
      <c r="C39" s="15">
        <f>(('Company Model'!T45-SUMIF('Company Model'!$C$5:$C$44,"Hyperscaler and platform",'Company Model'!$T$5:$T$44))*(1-'Capex Cross-check'!N11/'Capex Cross-check'!M11)+('Company Model'!V45-SUMIF('Company Model'!$C$5:$C$44,"Hyperscaler and platform",'Company Model'!$V$5:$V$44))/Assumptions!B15*(B38+B39))/Assumptions!B10/Assumptions!B9</f>
        <v>8.5044377720128558E-2</v>
      </c>
      <c r="D39" s="15"/>
      <c r="E39" s="6"/>
      <c r="F39" s="1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"/>
      <c r="W39" s="2"/>
      <c r="X39" s="2"/>
      <c r="Y39" s="2"/>
      <c r="Z39" s="2"/>
    </row>
    <row r="40" spans="1:26" ht="56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2"/>
      <c r="W40" s="2"/>
      <c r="X40" s="2"/>
      <c r="Y40" s="2"/>
      <c r="Z40" s="2"/>
    </row>
    <row r="41" spans="1:26" ht="56" customHeight="1" x14ac:dyDescent="0.25">
      <c r="A41" s="16" t="s">
        <v>38</v>
      </c>
      <c r="B41" s="3" t="s">
        <v>576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2"/>
      <c r="W41" s="2"/>
      <c r="X41" s="2"/>
      <c r="Y41" s="2"/>
      <c r="Z41" s="2"/>
    </row>
    <row r="42" spans="1:26" ht="56" customHeight="1" x14ac:dyDescent="0.25">
      <c r="A42" s="16" t="s">
        <v>39</v>
      </c>
      <c r="B42" s="3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2"/>
      <c r="W42" s="2"/>
      <c r="X42" s="2"/>
      <c r="Y42" s="2"/>
      <c r="Z42" s="2"/>
    </row>
    <row r="43" spans="1:26" ht="56" customHeight="1" x14ac:dyDescent="0.25">
      <c r="A43" s="16" t="s">
        <v>41</v>
      </c>
      <c r="B43" s="3" t="s"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2"/>
      <c r="W43" s="2"/>
      <c r="X43" s="2"/>
      <c r="Y43" s="2"/>
      <c r="Z43" s="2"/>
    </row>
    <row r="44" spans="1:26" ht="56" customHeight="1" x14ac:dyDescent="0.25">
      <c r="A44" s="16" t="s">
        <v>43</v>
      </c>
      <c r="B44" s="3" t="s">
        <v>44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2"/>
      <c r="W44" s="2"/>
      <c r="X44" s="2"/>
      <c r="Y44" s="2"/>
      <c r="Z44" s="2"/>
    </row>
    <row r="45" spans="1:26" ht="37.5" x14ac:dyDescent="0.25">
      <c r="A45" s="16" t="s">
        <v>45</v>
      </c>
      <c r="B45" s="3" t="s">
        <v>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2"/>
      <c r="W45" s="2"/>
      <c r="X45" s="2"/>
      <c r="Y45" s="2"/>
      <c r="Z45" s="2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2"/>
      <c r="W46" s="2"/>
      <c r="X46" s="2"/>
      <c r="Y46" s="2"/>
      <c r="Z46" s="2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2"/>
      <c r="W47" s="2"/>
      <c r="X47" s="2"/>
      <c r="Y47" s="2"/>
      <c r="Z47" s="2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2"/>
      <c r="W48" s="2"/>
      <c r="X48" s="2"/>
      <c r="Y48" s="2"/>
      <c r="Z48" s="2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2"/>
      <c r="W49" s="2"/>
      <c r="X49" s="2"/>
      <c r="Y49" s="2"/>
      <c r="Z49" s="2"/>
    </row>
    <row r="50" spans="1:26" ht="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47</v>
      </c>
      <c r="T50" s="3" t="s">
        <v>3</v>
      </c>
      <c r="U50" s="3" t="s">
        <v>4</v>
      </c>
      <c r="V50" s="2"/>
      <c r="W50" s="2"/>
      <c r="X50" s="2"/>
      <c r="Y50" s="2"/>
      <c r="Z50" s="2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48</v>
      </c>
      <c r="T51" s="7">
        <f t="shared" ref="T51:U53" si="0">B17</f>
        <v>0.29281471924322355</v>
      </c>
      <c r="U51" s="7">
        <f t="shared" si="0"/>
        <v>0.6520208824298418</v>
      </c>
      <c r="V51" s="2"/>
      <c r="W51" s="2"/>
      <c r="X51" s="2"/>
      <c r="Y51" s="2"/>
      <c r="Z51" s="2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49</v>
      </c>
      <c r="T52" s="7">
        <f t="shared" si="0"/>
        <v>0.35327397132989419</v>
      </c>
      <c r="U52" s="7">
        <f t="shared" si="0"/>
        <v>0.76282580359773688</v>
      </c>
      <c r="V52" s="2"/>
      <c r="W52" s="2"/>
      <c r="X52" s="2"/>
      <c r="Y52" s="2"/>
      <c r="Z52" s="2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50</v>
      </c>
      <c r="T53" s="7">
        <f t="shared" si="0"/>
        <v>0.40788069483020972</v>
      </c>
      <c r="U53" s="7">
        <f t="shared" si="0"/>
        <v>0.84047843654078647</v>
      </c>
      <c r="V53" s="2"/>
      <c r="W53" s="2"/>
      <c r="X53" s="2"/>
      <c r="Y53" s="2"/>
      <c r="Z53" s="2"/>
    </row>
    <row r="54" spans="1:26" ht="2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51</v>
      </c>
      <c r="T54" s="7">
        <f>B21</f>
        <v>5.0111804906009978E-2</v>
      </c>
      <c r="U54" s="7">
        <f>C21</f>
        <v>0.10880682545639679</v>
      </c>
      <c r="V54" s="2"/>
      <c r="W54" s="2"/>
      <c r="X54" s="2"/>
      <c r="Y54" s="2"/>
      <c r="Z54" s="2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2"/>
      <c r="W55" s="2"/>
      <c r="X55" s="2"/>
      <c r="Y55" s="2"/>
      <c r="Z55" s="2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2"/>
      <c r="W56" s="2"/>
      <c r="X56" s="2"/>
      <c r="Y56" s="2"/>
      <c r="Z56" s="2"/>
    </row>
    <row r="57" spans="1:26" ht="2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47</v>
      </c>
      <c r="T57" s="3" t="s">
        <v>3</v>
      </c>
      <c r="U57" s="3" t="s">
        <v>4</v>
      </c>
      <c r="V57" s="2"/>
      <c r="W57" s="2"/>
      <c r="X57" s="2"/>
      <c r="Y57" s="2"/>
      <c r="Z57" s="2"/>
    </row>
    <row r="58" spans="1:26" ht="2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52</v>
      </c>
      <c r="T58" s="6">
        <f t="shared" ref="T58:U60" si="1">B27</f>
        <v>23.270984862383024</v>
      </c>
      <c r="U58" s="6">
        <f t="shared" si="1"/>
        <v>37.152911331146058</v>
      </c>
      <c r="V58" s="2"/>
      <c r="W58" s="2"/>
      <c r="X58" s="2"/>
      <c r="Y58" s="2"/>
      <c r="Z58" s="2"/>
    </row>
    <row r="59" spans="1:26" ht="2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51</v>
      </c>
      <c r="T59" s="6">
        <f t="shared" si="1"/>
        <v>36.708569269459041</v>
      </c>
      <c r="U59" s="6">
        <f t="shared" si="1"/>
        <v>55.731008328322076</v>
      </c>
      <c r="V59" s="2"/>
      <c r="W59" s="2"/>
      <c r="X59" s="2"/>
      <c r="Y59" s="2"/>
      <c r="Z59" s="2"/>
    </row>
    <row r="60" spans="1:26" ht="2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53</v>
      </c>
      <c r="T60" s="6">
        <f t="shared" si="1"/>
        <v>50.732507774766056</v>
      </c>
      <c r="U60" s="6">
        <f t="shared" si="1"/>
        <v>73.8584276387041</v>
      </c>
      <c r="V60" s="2"/>
      <c r="W60" s="2"/>
      <c r="X60" s="2"/>
      <c r="Y60" s="2"/>
      <c r="Z60" s="2"/>
    </row>
    <row r="61" spans="1:26" x14ac:dyDescent="0.25">
      <c r="A61" s="3"/>
      <c r="B61" s="3"/>
      <c r="C61" s="3"/>
      <c r="D61" s="3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</row>
  </sheetData>
  <mergeCells count="7">
    <mergeCell ref="A24:D24"/>
    <mergeCell ref="A34:C34"/>
    <mergeCell ref="A1:Q1"/>
    <mergeCell ref="A2:Q2"/>
    <mergeCell ref="A4:D4"/>
    <mergeCell ref="B9:C9"/>
    <mergeCell ref="A12:D12"/>
  </mergeCells>
  <conditionalFormatting sqref="B9:C9">
    <cfRule type="containsText" dxfId="3" priority="2" operator="containsText" text="Awaiting">
      <formula>NOT(ISERROR(SEARCH("Awaiting",B9)))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183"/>
  </sheetPr>
  <dimension ref="A1:Z250"/>
  <sheetViews>
    <sheetView showGridLines="0" zoomScaleNormal="100" workbookViewId="0">
      <pane ySplit="5" topLeftCell="A6" activePane="bottomLeft" state="frozen"/>
      <selection pane="bottomLeft" sqref="A1:H1"/>
    </sheetView>
  </sheetViews>
  <sheetFormatPr defaultColWidth="8.6328125" defaultRowHeight="12.5" x14ac:dyDescent="0.25"/>
  <cols>
    <col min="1" max="1" width="10" customWidth="1"/>
    <col min="2" max="2" width="34" customWidth="1"/>
    <col min="3" max="3" width="18" customWidth="1"/>
    <col min="4" max="4" width="22" customWidth="1"/>
    <col min="5" max="5" width="18" customWidth="1"/>
    <col min="6" max="6" width="24" customWidth="1"/>
    <col min="7" max="7" width="15" customWidth="1"/>
    <col min="8" max="8" width="46" customWidth="1"/>
  </cols>
  <sheetData>
    <row r="1" spans="1:26" ht="28" customHeight="1" x14ac:dyDescent="0.25">
      <c r="A1" s="62" t="s">
        <v>54</v>
      </c>
      <c r="B1" s="62" t="s">
        <v>54</v>
      </c>
      <c r="C1" s="62" t="s">
        <v>54</v>
      </c>
      <c r="D1" s="62" t="s">
        <v>54</v>
      </c>
      <c r="E1" s="62" t="s">
        <v>54</v>
      </c>
      <c r="F1" s="62" t="s">
        <v>54</v>
      </c>
      <c r="G1" s="62" t="s">
        <v>54</v>
      </c>
      <c r="H1" s="62" t="s">
        <v>54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" customHeight="1" x14ac:dyDescent="0.25">
      <c r="A2" s="63" t="s">
        <v>55</v>
      </c>
      <c r="B2" s="63" t="s">
        <v>55</v>
      </c>
      <c r="C2" s="63" t="s">
        <v>55</v>
      </c>
      <c r="D2" s="63" t="s">
        <v>55</v>
      </c>
      <c r="E2" s="63" t="s">
        <v>55</v>
      </c>
      <c r="F2" s="63" t="s">
        <v>55</v>
      </c>
      <c r="G2" s="63" t="s">
        <v>55</v>
      </c>
      <c r="H2" s="63" t="s">
        <v>55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 x14ac:dyDescent="0.25">
      <c r="A4" s="56" t="s">
        <v>56</v>
      </c>
      <c r="B4" s="56" t="s">
        <v>56</v>
      </c>
      <c r="C4" s="56" t="s">
        <v>56</v>
      </c>
      <c r="D4" s="56" t="s">
        <v>56</v>
      </c>
      <c r="E4" s="56" t="s">
        <v>56</v>
      </c>
      <c r="F4" s="56" t="s">
        <v>56</v>
      </c>
      <c r="G4" s="56" t="s">
        <v>56</v>
      </c>
      <c r="H4" s="56" t="s">
        <v>56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25">
      <c r="A5" s="17" t="s">
        <v>57</v>
      </c>
      <c r="B5" s="18" t="s">
        <v>58</v>
      </c>
      <c r="C5" s="18" t="s">
        <v>59</v>
      </c>
      <c r="D5" s="18" t="s">
        <v>60</v>
      </c>
      <c r="E5" s="18" t="s">
        <v>15</v>
      </c>
      <c r="F5" s="18" t="s">
        <v>61</v>
      </c>
      <c r="G5" s="18" t="s">
        <v>62</v>
      </c>
      <c r="H5" s="19" t="s">
        <v>63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0">
        <v>1</v>
      </c>
      <c r="B6" s="2" t="s">
        <v>64</v>
      </c>
      <c r="C6" s="2" t="s">
        <v>65</v>
      </c>
      <c r="D6" s="2" t="s">
        <v>66</v>
      </c>
      <c r="E6" s="2" t="s">
        <v>17</v>
      </c>
      <c r="F6" s="2" t="s">
        <v>67</v>
      </c>
      <c r="G6" s="2" t="s">
        <v>68</v>
      </c>
      <c r="H6" s="2" t="s">
        <v>69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" x14ac:dyDescent="0.25">
      <c r="A7" s="20">
        <v>1</v>
      </c>
      <c r="B7" s="2" t="s">
        <v>70</v>
      </c>
      <c r="C7" s="2" t="s">
        <v>71</v>
      </c>
      <c r="D7" s="2" t="s">
        <v>66</v>
      </c>
      <c r="E7" s="2" t="s">
        <v>17</v>
      </c>
      <c r="F7" s="2" t="s">
        <v>72</v>
      </c>
      <c r="G7" s="2" t="s">
        <v>68</v>
      </c>
      <c r="H7" s="2" t="s">
        <v>73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0">
        <v>1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68</v>
      </c>
      <c r="H8" s="2" t="s">
        <v>79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0">
        <v>1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68</v>
      </c>
      <c r="H9" s="2" t="s">
        <v>85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1">
        <v>2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7.5" x14ac:dyDescent="0.25">
      <c r="A11" s="21">
        <v>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1">
        <v>1</v>
      </c>
      <c r="B12" s="2" t="s">
        <v>100</v>
      </c>
      <c r="C12" s="2" t="s">
        <v>101</v>
      </c>
      <c r="D12" s="2" t="s">
        <v>66</v>
      </c>
      <c r="E12" s="2" t="s">
        <v>17</v>
      </c>
      <c r="F12" s="2" t="s">
        <v>102</v>
      </c>
      <c r="G12" s="2" t="s">
        <v>68</v>
      </c>
      <c r="H12" s="2" t="s">
        <v>103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" customHeight="1" x14ac:dyDescent="0.25">
      <c r="A15" s="56" t="s">
        <v>104</v>
      </c>
      <c r="B15" s="56" t="s">
        <v>104</v>
      </c>
      <c r="C15" s="56" t="s">
        <v>104</v>
      </c>
      <c r="D15" s="56" t="s">
        <v>104</v>
      </c>
      <c r="E15" s="56" t="s">
        <v>104</v>
      </c>
      <c r="F15" s="56" t="s">
        <v>104</v>
      </c>
      <c r="G15" s="56" t="s">
        <v>104</v>
      </c>
      <c r="H15" s="56" t="s">
        <v>104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6" x14ac:dyDescent="0.25">
      <c r="A16" s="17" t="s">
        <v>105</v>
      </c>
      <c r="B16" s="18" t="s">
        <v>106</v>
      </c>
      <c r="C16" s="18" t="s">
        <v>107</v>
      </c>
      <c r="D16" s="18" t="s">
        <v>108</v>
      </c>
      <c r="E16" s="18" t="s">
        <v>109</v>
      </c>
      <c r="F16" s="19" t="s">
        <v>110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" x14ac:dyDescent="0.25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116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" x14ac:dyDescent="0.2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" x14ac:dyDescent="0.25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" x14ac:dyDescent="0.25">
      <c r="A20" s="2" t="s">
        <v>128</v>
      </c>
      <c r="B20" s="2" t="s">
        <v>129</v>
      </c>
      <c r="C20" s="2" t="s">
        <v>130</v>
      </c>
      <c r="D20" s="2" t="s">
        <v>126</v>
      </c>
      <c r="E20" s="2" t="s">
        <v>131</v>
      </c>
      <c r="F20" s="2" t="s">
        <v>122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" x14ac:dyDescent="0.25">
      <c r="A21" s="2" t="s">
        <v>132</v>
      </c>
      <c r="B21" s="2" t="s">
        <v>133</v>
      </c>
      <c r="C21" s="2" t="s">
        <v>134</v>
      </c>
      <c r="D21" s="2" t="s">
        <v>126</v>
      </c>
      <c r="E21" s="2" t="s">
        <v>135</v>
      </c>
      <c r="F21" s="2" t="s">
        <v>122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5" customHeight="1" x14ac:dyDescent="0.25">
      <c r="A24" s="16" t="s">
        <v>136</v>
      </c>
      <c r="B24" s="61" t="s">
        <v>137</v>
      </c>
      <c r="C24" s="61"/>
      <c r="D24" s="61"/>
      <c r="E24" s="61"/>
      <c r="F24" s="61"/>
      <c r="G24" s="61"/>
      <c r="H24" s="6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6.25" customHeight="1" x14ac:dyDescent="0.25">
      <c r="A25" s="16" t="s">
        <v>138</v>
      </c>
      <c r="B25" s="61" t="s">
        <v>139</v>
      </c>
      <c r="C25" s="61"/>
      <c r="D25" s="61"/>
      <c r="E25" s="61"/>
      <c r="F25" s="61"/>
      <c r="G25" s="61"/>
      <c r="H25" s="6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" customHeight="1" x14ac:dyDescent="0.25">
      <c r="A26" s="16" t="s">
        <v>140</v>
      </c>
      <c r="B26" s="61" t="s">
        <v>141</v>
      </c>
      <c r="C26" s="61"/>
      <c r="D26" s="61"/>
      <c r="E26" s="61"/>
      <c r="F26" s="61"/>
      <c r="G26" s="61"/>
      <c r="H26" s="6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" customHeight="1" x14ac:dyDescent="0.25">
      <c r="A27" s="16" t="s">
        <v>142</v>
      </c>
      <c r="B27" s="61" t="s">
        <v>143</v>
      </c>
      <c r="C27" s="61"/>
      <c r="D27" s="61"/>
      <c r="E27" s="61"/>
      <c r="F27" s="61"/>
      <c r="G27" s="61"/>
      <c r="H27" s="6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mergeCells count="8">
    <mergeCell ref="B25:H25"/>
    <mergeCell ref="B26:H26"/>
    <mergeCell ref="B27:H27"/>
    <mergeCell ref="A1:H1"/>
    <mergeCell ref="A2:H2"/>
    <mergeCell ref="A4:H4"/>
    <mergeCell ref="A15:H15"/>
    <mergeCell ref="B24:H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183"/>
  </sheetPr>
  <dimension ref="A1:Z250"/>
  <sheetViews>
    <sheetView showGridLines="0" zoomScale="85" zoomScaleNormal="85" workbookViewId="0">
      <pane ySplit="4" topLeftCell="A14" activePane="bottomLeft" state="frozen"/>
      <selection pane="bottomLeft" activeCell="H46" sqref="H46"/>
    </sheetView>
  </sheetViews>
  <sheetFormatPr defaultColWidth="8.6328125" defaultRowHeight="12.5" x14ac:dyDescent="0.25"/>
  <cols>
    <col min="1" max="1" width="11" customWidth="1"/>
    <col min="2" max="2" width="24" customWidth="1"/>
    <col min="3" max="3" width="30" customWidth="1"/>
    <col min="4" max="4" width="11" customWidth="1"/>
    <col min="5" max="14" width="16" customWidth="1"/>
    <col min="15" max="15" width="13" customWidth="1"/>
    <col min="16" max="16" width="20" customWidth="1"/>
    <col min="17" max="17" width="28" customWidth="1"/>
  </cols>
  <sheetData>
    <row r="1" spans="1:26" ht="28" customHeight="1" x14ac:dyDescent="0.25">
      <c r="A1" s="64" t="s">
        <v>144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22"/>
      <c r="Q1" s="22"/>
      <c r="R1" s="2"/>
      <c r="S1" s="2"/>
      <c r="T1" s="2"/>
      <c r="U1" s="2"/>
      <c r="V1" s="2"/>
      <c r="W1" s="2"/>
      <c r="X1" s="2"/>
      <c r="Y1" s="2"/>
      <c r="Z1" s="2"/>
    </row>
    <row r="2" spans="1:26" ht="22" customHeight="1" x14ac:dyDescent="0.25">
      <c r="A2" s="65" t="s">
        <v>145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22"/>
      <c r="Q2" s="2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2"/>
      <c r="W3" s="2"/>
      <c r="X3" s="2"/>
      <c r="Y3" s="2"/>
      <c r="Z3" s="2"/>
    </row>
    <row r="4" spans="1:26" ht="20" customHeight="1" x14ac:dyDescent="0.25">
      <c r="A4" s="5" t="s">
        <v>146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  <c r="J4" s="5" t="s">
        <v>155</v>
      </c>
      <c r="K4" s="5" t="s">
        <v>156</v>
      </c>
      <c r="L4" s="5" t="s">
        <v>157</v>
      </c>
      <c r="M4" s="5" t="s">
        <v>158</v>
      </c>
      <c r="N4" s="5" t="s">
        <v>159</v>
      </c>
      <c r="O4" s="5" t="s">
        <v>87</v>
      </c>
      <c r="P4" s="5" t="s">
        <v>160</v>
      </c>
      <c r="Q4" s="5" t="s">
        <v>161</v>
      </c>
      <c r="R4" s="2"/>
      <c r="S4" s="2"/>
      <c r="T4" s="2"/>
      <c r="U4" s="2"/>
      <c r="V4" s="2"/>
      <c r="W4" s="2"/>
      <c r="X4" s="2"/>
      <c r="Y4" s="2"/>
      <c r="Z4" s="2"/>
    </row>
    <row r="5" spans="1:26" ht="20" customHeight="1" x14ac:dyDescent="0.25">
      <c r="A5" s="3" t="s">
        <v>162</v>
      </c>
      <c r="B5" s="3" t="s">
        <v>117</v>
      </c>
      <c r="C5" s="3" t="s">
        <v>163</v>
      </c>
      <c r="D5" s="3">
        <v>6</v>
      </c>
      <c r="E5" s="23">
        <f>_xlfn.XLOOKUP($A5,[1]Value!$B:$B,[1]Value!$AE:$AE,"",0)/1000</f>
        <v>105.40338</v>
      </c>
      <c r="F5" s="23">
        <f>_xlfn.XLOOKUP($A5,[1]Value!$B:$B,[1]Value!$AF:$AF,"",0)/1000</f>
        <v>130.53966500000001</v>
      </c>
      <c r="G5" s="23">
        <f>_xlfn.XLOOKUP($A5,[1]Value!$B:$B,[1]Value!$AG:$AG,"",0)/1000</f>
        <v>153.283423</v>
      </c>
      <c r="H5" s="23">
        <f>_xlfn.XLOOKUP($A5,[1]Value!$B:$B,[1]Value!$AI:$AI,"",0)</f>
        <v>14.179618000000001</v>
      </c>
      <c r="I5" s="23">
        <f>_xlfn.XLOOKUP($A5,[1]Value!$B:$B,[1]Value!$AJ:$AJ,"",0)</f>
        <v>17.567813000000001</v>
      </c>
      <c r="J5" s="23">
        <f>_xlfn.XLOOKUP($A5,[1]Value!$B:$B,[1]Value!$AK:$AK,"",0)</f>
        <v>20.428000000000001</v>
      </c>
      <c r="K5" s="49">
        <f>ROUND(E5/H5*10^9,0)</f>
        <v>7433442847</v>
      </c>
      <c r="L5" s="50">
        <f t="shared" ref="L5:M5" si="0">ROUND(F5/I5*10^9,0)</f>
        <v>7430615581</v>
      </c>
      <c r="M5" s="50">
        <f t="shared" si="0"/>
        <v>7503594233</v>
      </c>
      <c r="N5" s="24" t="s">
        <v>164</v>
      </c>
      <c r="O5" s="25">
        <v>46295</v>
      </c>
      <c r="P5" s="24" t="s">
        <v>66</v>
      </c>
      <c r="Q5" s="24"/>
      <c r="R5" s="2"/>
      <c r="S5" s="2"/>
      <c r="T5" s="2"/>
      <c r="U5" s="2"/>
      <c r="V5" s="2"/>
      <c r="W5" s="2"/>
      <c r="X5" s="2"/>
      <c r="Y5" s="2"/>
      <c r="Z5" s="2"/>
    </row>
    <row r="6" spans="1:26" ht="20" customHeight="1" x14ac:dyDescent="0.25">
      <c r="A6" s="3" t="s">
        <v>165</v>
      </c>
      <c r="B6" s="3" t="s">
        <v>166</v>
      </c>
      <c r="C6" s="3" t="s">
        <v>163</v>
      </c>
      <c r="D6" s="3">
        <v>12</v>
      </c>
      <c r="E6" s="23">
        <f>_xlfn.XLOOKUP($A6,[1]Value!$B:$B,[1]Value!$AE:$AE,"",0)/1000</f>
        <v>72.208889999999997</v>
      </c>
      <c r="F6" s="23">
        <f>_xlfn.XLOOKUP($A6,[1]Value!$B:$B,[1]Value!$AF:$AF,"",0)/1000</f>
        <v>86.875779000000009</v>
      </c>
      <c r="G6" s="23">
        <f>_xlfn.XLOOKUP($A6,[1]Value!$B:$B,[1]Value!$AG:$AG,"",0)/1000</f>
        <v>129.525846</v>
      </c>
      <c r="H6" s="23">
        <f>_xlfn.XLOOKUP($A6,[1]Value!$B:$B,[1]Value!$AI:$AI,"",0)</f>
        <v>6.8029929999999998</v>
      </c>
      <c r="I6" s="23">
        <f>_xlfn.XLOOKUP($A6,[1]Value!$B:$B,[1]Value!$AJ:$AJ,"",0)</f>
        <v>8.0658119999999993</v>
      </c>
      <c r="J6" s="23">
        <f>_xlfn.XLOOKUP($A6,[1]Value!$B:$B,[1]Value!$AK:$AK,"",0)</f>
        <v>11.843</v>
      </c>
      <c r="K6" s="49">
        <f t="shared" ref="K6:K44" si="1">ROUND(E6/H6*10^9,0)</f>
        <v>10614282567</v>
      </c>
      <c r="L6" s="50">
        <f t="shared" ref="L6:L44" si="2">ROUND(F6/I6*10^9,0)</f>
        <v>10770865847</v>
      </c>
      <c r="M6" s="50">
        <f t="shared" ref="M6:M44" si="3">ROUND(G6/J6*10^9,0)</f>
        <v>10936911762</v>
      </c>
      <c r="N6" s="24" t="s">
        <v>164</v>
      </c>
      <c r="O6" s="25">
        <v>46295</v>
      </c>
      <c r="P6" s="24" t="s">
        <v>66</v>
      </c>
      <c r="Q6" s="24"/>
      <c r="R6" s="2"/>
      <c r="S6" s="2"/>
      <c r="T6" s="2"/>
      <c r="U6" s="2"/>
      <c r="V6" s="2"/>
      <c r="W6" s="2"/>
      <c r="X6" s="2"/>
      <c r="Y6" s="2"/>
      <c r="Z6" s="2"/>
    </row>
    <row r="7" spans="1:26" ht="20" customHeight="1" x14ac:dyDescent="0.25">
      <c r="A7" s="3" t="s">
        <v>167</v>
      </c>
      <c r="B7" s="3" t="s">
        <v>168</v>
      </c>
      <c r="C7" s="3" t="s">
        <v>163</v>
      </c>
      <c r="D7" s="3">
        <v>12</v>
      </c>
      <c r="E7" s="23">
        <f>_xlfn.XLOOKUP($A7,[1]Value!$B:$B,[1]Value!$AE:$AE,"",0)/1000</f>
        <v>106.7604</v>
      </c>
      <c r="F7" s="23">
        <f>_xlfn.XLOOKUP($A7,[1]Value!$B:$B,[1]Value!$AF:$AF,"",0)/1000</f>
        <v>137.94641700000003</v>
      </c>
      <c r="G7" s="23">
        <f>_xlfn.XLOOKUP($A7,[1]Value!$B:$B,[1]Value!$AG:$AG,"",0)/1000</f>
        <v>179.24001100000001</v>
      </c>
      <c r="H7" s="23">
        <f>_xlfn.XLOOKUP($A7,[1]Value!$B:$B,[1]Value!$AI:$AI,"",0)</f>
        <v>8.7835640000000001</v>
      </c>
      <c r="I7" s="23">
        <f>_xlfn.XLOOKUP($A7,[1]Value!$B:$B,[1]Value!$AJ:$AJ,"",0)</f>
        <v>11.765675</v>
      </c>
      <c r="J7" s="23">
        <f>_xlfn.XLOOKUP($A7,[1]Value!$B:$B,[1]Value!$AK:$AK,"",0)</f>
        <v>15.697000000000001</v>
      </c>
      <c r="K7" s="49">
        <f t="shared" si="1"/>
        <v>12154565049</v>
      </c>
      <c r="L7" s="50">
        <f t="shared" si="2"/>
        <v>11724479641</v>
      </c>
      <c r="M7" s="50">
        <f t="shared" si="3"/>
        <v>11418743136</v>
      </c>
      <c r="N7" s="24" t="s">
        <v>164</v>
      </c>
      <c r="O7" s="25">
        <v>46295</v>
      </c>
      <c r="P7" s="24" t="s">
        <v>66</v>
      </c>
      <c r="Q7" s="24"/>
      <c r="R7" s="2"/>
      <c r="S7" s="2"/>
      <c r="T7" s="2"/>
      <c r="U7" s="2"/>
      <c r="V7" s="2"/>
      <c r="W7" s="2"/>
      <c r="X7" s="2"/>
      <c r="Y7" s="2"/>
      <c r="Z7" s="2"/>
    </row>
    <row r="8" spans="1:26" ht="20" customHeight="1" x14ac:dyDescent="0.25">
      <c r="A8" s="3" t="s">
        <v>169</v>
      </c>
      <c r="B8" s="3" t="s">
        <v>170</v>
      </c>
      <c r="C8" s="3" t="s">
        <v>163</v>
      </c>
      <c r="D8" s="3">
        <v>12</v>
      </c>
      <c r="E8" s="23">
        <f>_xlfn.XLOOKUP($A8,[1]Value!$B:$B,[1]Value!$AE:$AE,"",0)/1000</f>
        <v>73.803879999999992</v>
      </c>
      <c r="F8" s="23">
        <f>_xlfn.XLOOKUP($A8,[1]Value!$B:$B,[1]Value!$AF:$AF,"",0)/1000</f>
        <v>88.474229000000008</v>
      </c>
      <c r="G8" s="23">
        <f>_xlfn.XLOOKUP($A8,[1]Value!$B:$B,[1]Value!$AG:$AG,"",0)/1000</f>
        <v>92.33559600000001</v>
      </c>
      <c r="H8" s="23">
        <f>_xlfn.XLOOKUP($A8,[1]Value!$B:$B,[1]Value!$AI:$AI,"",0)</f>
        <v>29.254843999999999</v>
      </c>
      <c r="I8" s="23">
        <f>_xlfn.XLOOKUP($A8,[1]Value!$B:$B,[1]Value!$AJ:$AJ,"",0)</f>
        <v>34.706139999999998</v>
      </c>
      <c r="J8" s="23">
        <f>_xlfn.XLOOKUP($A8,[1]Value!$B:$B,[1]Value!$AK:$AK,"",0)</f>
        <v>34.352000000000004</v>
      </c>
      <c r="K8" s="49">
        <f t="shared" si="1"/>
        <v>2522791781</v>
      </c>
      <c r="L8" s="50">
        <f t="shared" si="2"/>
        <v>2549238521</v>
      </c>
      <c r="M8" s="50">
        <f t="shared" si="3"/>
        <v>2687924895</v>
      </c>
      <c r="N8" s="24" t="s">
        <v>164</v>
      </c>
      <c r="O8" s="25">
        <v>46295</v>
      </c>
      <c r="P8" s="24" t="s">
        <v>66</v>
      </c>
      <c r="Q8" s="24"/>
      <c r="R8" s="2"/>
      <c r="S8" s="2"/>
      <c r="T8" s="2"/>
      <c r="U8" s="2"/>
      <c r="V8" s="2"/>
      <c r="W8" s="2"/>
      <c r="X8" s="2"/>
      <c r="Y8" s="2"/>
      <c r="Z8" s="2"/>
    </row>
    <row r="9" spans="1:26" ht="20" customHeight="1" x14ac:dyDescent="0.25">
      <c r="A9" s="3" t="s">
        <v>171</v>
      </c>
      <c r="B9" s="3" t="s">
        <v>123</v>
      </c>
      <c r="C9" s="3" t="s">
        <v>163</v>
      </c>
      <c r="D9" s="3">
        <v>5</v>
      </c>
      <c r="E9" s="23">
        <f>_xlfn.XLOOKUP($A9,[1]Value!$B:$B,[1]Value!$AE:$AE,"",0)/1000</f>
        <v>16.158036228739821</v>
      </c>
      <c r="F9" s="23">
        <f>_xlfn.XLOOKUP($A9,[1]Value!$B:$B,[1]Value!$AF:$AF,"",0)/1000</f>
        <v>19.101303264119842</v>
      </c>
      <c r="G9" s="23">
        <f>_xlfn.XLOOKUP($A9,[1]Value!$B:$B,[1]Value!$AG:$AG,"",0)/1000</f>
        <v>28.114857000000001</v>
      </c>
      <c r="H9" s="23">
        <f>_xlfn.XLOOKUP($A9,[1]Value!$B:$B,[1]Value!$AI:$AI,"",0)</f>
        <v>5.708431</v>
      </c>
      <c r="I9" s="23">
        <f>_xlfn.XLOOKUP($A9,[1]Value!$B:$B,[1]Value!$AJ:$AJ,"",0)</f>
        <v>6.422275</v>
      </c>
      <c r="J9" s="23">
        <f>_xlfn.XLOOKUP($A9,[1]Value!$B:$B,[1]Value!$AK:$AK,"",0)</f>
        <v>9.222999999999999</v>
      </c>
      <c r="K9" s="49">
        <f t="shared" si="1"/>
        <v>2830556457</v>
      </c>
      <c r="L9" s="50">
        <f t="shared" si="2"/>
        <v>2974226931</v>
      </c>
      <c r="M9" s="50">
        <f t="shared" si="3"/>
        <v>3048341863</v>
      </c>
      <c r="N9" s="24" t="s">
        <v>164</v>
      </c>
      <c r="O9" s="25">
        <v>46295</v>
      </c>
      <c r="P9" s="24" t="s">
        <v>66</v>
      </c>
      <c r="Q9" s="24"/>
      <c r="R9" s="2"/>
      <c r="S9" s="2"/>
      <c r="T9" s="2"/>
      <c r="U9" s="2"/>
      <c r="V9" s="2"/>
      <c r="W9" s="2"/>
      <c r="X9" s="2"/>
      <c r="Y9" s="2"/>
      <c r="Z9" s="2"/>
    </row>
    <row r="10" spans="1:26" ht="20" customHeight="1" x14ac:dyDescent="0.25">
      <c r="A10" s="3" t="s">
        <v>172</v>
      </c>
      <c r="B10" s="3" t="s">
        <v>128</v>
      </c>
      <c r="C10" s="3" t="s">
        <v>173</v>
      </c>
      <c r="D10" s="3">
        <v>1</v>
      </c>
      <c r="E10" s="23">
        <f>_xlfn.XLOOKUP($A10,[1]Value!$B:$B,[1]Value!$AE:$AE,"",0)/1000</f>
        <v>97.239846310683788</v>
      </c>
      <c r="F10" s="23">
        <f>_xlfn.XLOOKUP($A10,[1]Value!$B:$B,[1]Value!$AF:$AF,"",0)/1000</f>
        <v>197.50448371402447</v>
      </c>
      <c r="G10" s="23">
        <f>_xlfn.XLOOKUP($A10,[1]Value!$B:$B,[1]Value!$AG:$AG,"",0)/1000</f>
        <v>335.42451800000003</v>
      </c>
      <c r="H10" s="23">
        <f>_xlfn.XLOOKUP($A10,[1]Value!$B:$B,[1]Value!$AI:$AI,"",0)</f>
        <v>3.9859830000000001</v>
      </c>
      <c r="I10" s="23">
        <f>_xlfn.XLOOKUP($A10,[1]Value!$B:$B,[1]Value!$AJ:$AJ,"",0)</f>
        <v>8.1344370000000001</v>
      </c>
      <c r="J10" s="23">
        <f>_xlfn.XLOOKUP($A10,[1]Value!$B:$B,[1]Value!$AK:$AK,"",0)</f>
        <v>13.757</v>
      </c>
      <c r="K10" s="49">
        <f t="shared" si="1"/>
        <v>24395449331</v>
      </c>
      <c r="L10" s="50">
        <f t="shared" si="2"/>
        <v>24280043439</v>
      </c>
      <c r="M10" s="50">
        <f t="shared" si="3"/>
        <v>24382097696</v>
      </c>
      <c r="N10" s="24" t="s">
        <v>164</v>
      </c>
      <c r="O10" s="25">
        <v>46295</v>
      </c>
      <c r="P10" s="24" t="s">
        <v>66</v>
      </c>
      <c r="Q10" s="24"/>
      <c r="R10" s="2"/>
      <c r="S10" s="2"/>
      <c r="T10" s="2"/>
      <c r="U10" s="2"/>
      <c r="V10" s="2"/>
      <c r="W10" s="2"/>
      <c r="X10" s="2"/>
      <c r="Y10" s="2"/>
      <c r="Z10" s="2"/>
    </row>
    <row r="11" spans="1:26" ht="20" customHeight="1" x14ac:dyDescent="0.25">
      <c r="A11" s="3" t="s">
        <v>174</v>
      </c>
      <c r="B11" s="3" t="s">
        <v>175</v>
      </c>
      <c r="C11" s="3" t="s">
        <v>173</v>
      </c>
      <c r="D11" s="3">
        <v>12</v>
      </c>
      <c r="E11" s="23">
        <f>_xlfn.XLOOKUP($A11,[1]Value!$B:$B,[1]Value!$AE:$AE,"",0)/1000</f>
        <v>3.417687037193855</v>
      </c>
      <c r="F11" s="23">
        <f>_xlfn.XLOOKUP($A11,[1]Value!$B:$B,[1]Value!$AF:$AF,"",0)/1000</f>
        <v>7.9889915160872293</v>
      </c>
      <c r="G11" s="23">
        <f>_xlfn.XLOOKUP($A11,[1]Value!$B:$B,[1]Value!$AG:$AG,"",0)/1000</f>
        <v>22.451760000000004</v>
      </c>
      <c r="H11" s="23">
        <f>_xlfn.XLOOKUP($A11,[1]Value!$B:$B,[1]Value!$AI:$AI,"",0)</f>
        <v>2.1052770000000001</v>
      </c>
      <c r="I11" s="23">
        <f>_xlfn.XLOOKUP($A11,[1]Value!$B:$B,[1]Value!$AJ:$AJ,"",0)</f>
        <v>4.8594030000000004</v>
      </c>
      <c r="J11" s="23">
        <f>_xlfn.XLOOKUP($A11,[1]Value!$B:$B,[1]Value!$AK:$AK,"",0)</f>
        <v>13.367000000000001</v>
      </c>
      <c r="K11" s="49">
        <f t="shared" si="1"/>
        <v>1623390669</v>
      </c>
      <c r="L11" s="50">
        <f t="shared" si="2"/>
        <v>1644027366</v>
      </c>
      <c r="M11" s="50">
        <f t="shared" si="3"/>
        <v>1679640907</v>
      </c>
      <c r="N11" s="24" t="s">
        <v>164</v>
      </c>
      <c r="O11" s="25">
        <v>46295</v>
      </c>
      <c r="P11" s="24" t="s">
        <v>66</v>
      </c>
      <c r="Q11" s="24"/>
      <c r="R11" s="2"/>
      <c r="S11" s="2"/>
      <c r="T11" s="2"/>
      <c r="U11" s="2"/>
      <c r="V11" s="2"/>
      <c r="W11" s="2"/>
      <c r="X11" s="2"/>
      <c r="Y11" s="2"/>
      <c r="Z11" s="2"/>
    </row>
    <row r="12" spans="1:26" ht="20" customHeight="1" x14ac:dyDescent="0.25">
      <c r="A12" s="3" t="s">
        <v>176</v>
      </c>
      <c r="B12" s="3" t="s">
        <v>132</v>
      </c>
      <c r="C12" s="3" t="s">
        <v>173</v>
      </c>
      <c r="D12" s="3">
        <v>10</v>
      </c>
      <c r="E12" s="23">
        <f>_xlfn.XLOOKUP($A12,[1]Value!$B:$B,[1]Value!$AE:$AE,"",0)/1000</f>
        <v>25.954481421400363</v>
      </c>
      <c r="F12" s="23">
        <f>_xlfn.XLOOKUP($A12,[1]Value!$B:$B,[1]Value!$AF:$AF,"",0)/1000</f>
        <v>49.062536672888889</v>
      </c>
      <c r="G12" s="23">
        <f>_xlfn.XLOOKUP($A12,[1]Value!$B:$B,[1]Value!$AG:$AG,"",0)/1000</f>
        <v>94.280342999999988</v>
      </c>
      <c r="H12" s="23">
        <f>_xlfn.XLOOKUP($A12,[1]Value!$B:$B,[1]Value!$AI:$AI,"",0)</f>
        <v>5.5038390000000001</v>
      </c>
      <c r="I12" s="23">
        <f>_xlfn.XLOOKUP($A12,[1]Value!$B:$B,[1]Value!$AJ:$AJ,"",0)</f>
        <v>10.173256</v>
      </c>
      <c r="J12" s="23">
        <f>_xlfn.XLOOKUP($A12,[1]Value!$B:$B,[1]Value!$AK:$AK,"",0)</f>
        <v>19.082999999999998</v>
      </c>
      <c r="K12" s="49">
        <f t="shared" si="1"/>
        <v>4715705060</v>
      </c>
      <c r="L12" s="50">
        <f t="shared" si="2"/>
        <v>4822697539</v>
      </c>
      <c r="M12" s="50">
        <f t="shared" si="3"/>
        <v>4940540953</v>
      </c>
      <c r="N12" s="24" t="s">
        <v>164</v>
      </c>
      <c r="O12" s="25">
        <v>46295</v>
      </c>
      <c r="P12" s="24" t="s">
        <v>66</v>
      </c>
      <c r="Q12" s="24"/>
      <c r="R12" s="2"/>
      <c r="S12" s="2"/>
      <c r="T12" s="2"/>
      <c r="U12" s="2"/>
      <c r="V12" s="2"/>
      <c r="W12" s="2"/>
      <c r="X12" s="2"/>
      <c r="Y12" s="2"/>
      <c r="Z12" s="2"/>
    </row>
    <row r="13" spans="1:26" ht="20" customHeight="1" x14ac:dyDescent="0.25">
      <c r="A13" s="3" t="s">
        <v>177</v>
      </c>
      <c r="B13" s="3" t="s">
        <v>178</v>
      </c>
      <c r="C13" s="3" t="s">
        <v>173</v>
      </c>
      <c r="D13" s="3">
        <v>8</v>
      </c>
      <c r="E13" s="23">
        <f>_xlfn.XLOOKUP($A13,[1]Value!$B:$B,[1]Value!$AE:$AE,"",0)/1000</f>
        <v>8.6997499999999999</v>
      </c>
      <c r="F13" s="23">
        <f>_xlfn.XLOOKUP($A13,[1]Value!$B:$B,[1]Value!$AF:$AF,"",0)/1000</f>
        <v>84.131625999999983</v>
      </c>
      <c r="G13" s="23">
        <f>_xlfn.XLOOKUP($A13,[1]Value!$B:$B,[1]Value!$AG:$AG,"",0)/1000</f>
        <v>183.90767700000001</v>
      </c>
      <c r="H13" s="23">
        <f>_xlfn.XLOOKUP($A13,[1]Value!$B:$B,[1]Value!$AI:$AI,"",0)</f>
        <v>7.7906809999999993</v>
      </c>
      <c r="I13" s="23">
        <f>_xlfn.XLOOKUP($A13,[1]Value!$B:$B,[1]Value!$AJ:$AJ,"",0)</f>
        <v>74.096560999999994</v>
      </c>
      <c r="J13" s="23">
        <f>_xlfn.XLOOKUP($A13,[1]Value!$B:$B,[1]Value!$AK:$AK,"",0)</f>
        <v>161.166</v>
      </c>
      <c r="K13" s="49">
        <f t="shared" si="1"/>
        <v>1116686718</v>
      </c>
      <c r="L13" s="50">
        <f t="shared" si="2"/>
        <v>1135432264</v>
      </c>
      <c r="M13" s="50">
        <f t="shared" si="3"/>
        <v>1141107163</v>
      </c>
      <c r="N13" s="24" t="s">
        <v>164</v>
      </c>
      <c r="O13" s="25">
        <v>46295</v>
      </c>
      <c r="P13" s="24" t="s">
        <v>66</v>
      </c>
      <c r="Q13" s="24"/>
      <c r="R13" s="2"/>
      <c r="S13" s="2"/>
      <c r="T13" s="2"/>
      <c r="U13" s="2"/>
      <c r="V13" s="2"/>
      <c r="W13" s="2"/>
      <c r="X13" s="2"/>
      <c r="Y13" s="2"/>
      <c r="Z13" s="2"/>
    </row>
    <row r="14" spans="1:26" ht="20" customHeight="1" x14ac:dyDescent="0.25">
      <c r="A14" s="3" t="s">
        <v>179</v>
      </c>
      <c r="B14" s="3" t="s">
        <v>180</v>
      </c>
      <c r="C14" s="3" t="s">
        <v>173</v>
      </c>
      <c r="D14" s="3">
        <v>12</v>
      </c>
      <c r="E14" s="23">
        <f>_xlfn.XLOOKUP($A14,[1]Value!$B:$B,[1]Value!$AE:$AE,"",0)/1000</f>
        <v>-2.9662668308324172</v>
      </c>
      <c r="F14" s="23">
        <f>_xlfn.XLOOKUP($A14,[1]Value!$B:$B,[1]Value!$AF:$AF,"",0)/1000</f>
        <v>5.7409385449646306</v>
      </c>
      <c r="G14" s="23">
        <f>_xlfn.XLOOKUP($A14,[1]Value!$B:$B,[1]Value!$AG:$AG,"",0)/1000</f>
        <v>9.9310480000000005</v>
      </c>
      <c r="H14" s="23">
        <f>_xlfn.XLOOKUP($A14,[1]Value!$B:$B,[1]Value!$AI:$AI,"",0)</f>
        <v>-0.68976599999999999</v>
      </c>
      <c r="I14" s="23">
        <f>_xlfn.XLOOKUP($A14,[1]Value!$B:$B,[1]Value!$AJ:$AJ,"",0)</f>
        <v>1.1233040000000001</v>
      </c>
      <c r="J14" s="23">
        <f>_xlfn.XLOOKUP($A14,[1]Value!$B:$B,[1]Value!$AK:$AK,"",0)</f>
        <v>1.8679999999999999</v>
      </c>
      <c r="K14" s="49">
        <f t="shared" si="1"/>
        <v>4300395831</v>
      </c>
      <c r="L14" s="50">
        <f t="shared" si="2"/>
        <v>5110761241</v>
      </c>
      <c r="M14" s="50">
        <f t="shared" si="3"/>
        <v>5316406852</v>
      </c>
      <c r="N14" s="24" t="s">
        <v>164</v>
      </c>
      <c r="O14" s="25">
        <v>46295</v>
      </c>
      <c r="P14" s="24" t="s">
        <v>66</v>
      </c>
      <c r="Q14" s="24"/>
      <c r="R14" s="2"/>
      <c r="S14" s="2"/>
      <c r="T14" s="2"/>
      <c r="U14" s="2"/>
      <c r="V14" s="2"/>
      <c r="W14" s="2"/>
      <c r="X14" s="2"/>
      <c r="Y14" s="2"/>
      <c r="Z14" s="2"/>
    </row>
    <row r="15" spans="1:26" ht="20" customHeight="1" x14ac:dyDescent="0.25">
      <c r="A15" s="3" t="s">
        <v>181</v>
      </c>
      <c r="B15" s="3" t="s">
        <v>182</v>
      </c>
      <c r="C15" s="3" t="s">
        <v>183</v>
      </c>
      <c r="D15" s="3">
        <v>10</v>
      </c>
      <c r="E15" s="23">
        <f>_xlfn.XLOOKUP($A15,[1]Value!$B:$B,[1]Value!$AE:$AE,"",0)/1000</f>
        <v>7.5456329981675596</v>
      </c>
      <c r="F15" s="23">
        <f>_xlfn.XLOOKUP($A15,[1]Value!$B:$B,[1]Value!$AF:$AF,"",0)/1000</f>
        <v>10.222297227191412</v>
      </c>
      <c r="G15" s="23">
        <f>_xlfn.XLOOKUP($A15,[1]Value!$B:$B,[1]Value!$AG:$AG,"",0)/1000</f>
        <v>15.000132000000001</v>
      </c>
      <c r="H15" s="23">
        <f>_xlfn.XLOOKUP($A15,[1]Value!$B:$B,[1]Value!$AI:$AI,"",0)</f>
        <v>9.3858879999999996</v>
      </c>
      <c r="I15" s="23">
        <f>_xlfn.XLOOKUP($A15,[1]Value!$B:$B,[1]Value!$AJ:$AJ,"",0)</f>
        <v>12.888267000000001</v>
      </c>
      <c r="J15" s="23">
        <f>_xlfn.XLOOKUP($A15,[1]Value!$B:$B,[1]Value!$AK:$AK,"",0)</f>
        <v>18.933</v>
      </c>
      <c r="K15" s="49">
        <f t="shared" si="1"/>
        <v>803933842</v>
      </c>
      <c r="L15" s="50">
        <f t="shared" si="2"/>
        <v>793147537</v>
      </c>
      <c r="M15" s="50">
        <f t="shared" si="3"/>
        <v>792274441</v>
      </c>
      <c r="N15" s="24" t="s">
        <v>164</v>
      </c>
      <c r="O15" s="25">
        <v>46295</v>
      </c>
      <c r="P15" s="24" t="s">
        <v>66</v>
      </c>
      <c r="Q15" s="24"/>
      <c r="R15" s="2"/>
      <c r="S15" s="2"/>
      <c r="T15" s="2"/>
      <c r="U15" s="2"/>
      <c r="V15" s="2"/>
      <c r="W15" s="2"/>
      <c r="X15" s="2"/>
      <c r="Y15" s="2"/>
      <c r="Z15" s="2"/>
    </row>
    <row r="16" spans="1:26" ht="20" customHeight="1" x14ac:dyDescent="0.25">
      <c r="A16" s="3" t="s">
        <v>184</v>
      </c>
      <c r="B16" s="3" t="s">
        <v>185</v>
      </c>
      <c r="C16" s="3" t="s">
        <v>183</v>
      </c>
      <c r="D16" s="3">
        <v>6</v>
      </c>
      <c r="E16" s="23">
        <f>_xlfn.XLOOKUP($A16,[1]Value!$B:$B,[1]Value!$AE:$AE,"",0)/1000</f>
        <v>5.7657591349647097</v>
      </c>
      <c r="F16" s="23">
        <f>_xlfn.XLOOKUP($A16,[1]Value!$B:$B,[1]Value!$AF:$AF,"",0)/1000</f>
        <v>8.4378860040859198</v>
      </c>
      <c r="G16" s="23">
        <f>_xlfn.XLOOKUP($A16,[1]Value!$B:$B,[1]Value!$AG:$AG,"",0)/1000</f>
        <v>12.44552</v>
      </c>
      <c r="H16" s="23">
        <f>_xlfn.XLOOKUP($A16,[1]Value!$B:$B,[1]Value!$AI:$AI,"",0)</f>
        <v>4.5177969999999998</v>
      </c>
      <c r="I16" s="23">
        <f>_xlfn.XLOOKUP($A16,[1]Value!$B:$B,[1]Value!$AJ:$AJ,"",0)</f>
        <v>6.7336760000000009</v>
      </c>
      <c r="J16" s="23">
        <f>_xlfn.XLOOKUP($A16,[1]Value!$B:$B,[1]Value!$AK:$AK,"",0)</f>
        <v>10.026</v>
      </c>
      <c r="K16" s="49">
        <f t="shared" si="1"/>
        <v>1276232450</v>
      </c>
      <c r="L16" s="50">
        <f t="shared" si="2"/>
        <v>1253087616</v>
      </c>
      <c r="M16" s="50">
        <f t="shared" si="3"/>
        <v>1241324556</v>
      </c>
      <c r="N16" s="24" t="s">
        <v>164</v>
      </c>
      <c r="O16" s="25">
        <v>46295</v>
      </c>
      <c r="P16" s="24" t="s">
        <v>66</v>
      </c>
      <c r="Q16" s="24"/>
      <c r="R16" s="2"/>
      <c r="S16" s="2"/>
      <c r="T16" s="2"/>
      <c r="U16" s="2"/>
      <c r="V16" s="2"/>
      <c r="W16" s="2"/>
      <c r="X16" s="2"/>
      <c r="Y16" s="2"/>
      <c r="Z16" s="2"/>
    </row>
    <row r="17" spans="1:26" ht="20" customHeight="1" x14ac:dyDescent="0.25">
      <c r="A17" s="3" t="s">
        <v>186</v>
      </c>
      <c r="B17" s="3" t="s">
        <v>187</v>
      </c>
      <c r="C17" s="3" t="s">
        <v>183</v>
      </c>
      <c r="D17" s="3">
        <v>6</v>
      </c>
      <c r="E17" s="23">
        <f>_xlfn.XLOOKUP($A17,[1]Value!$B:$B,[1]Value!$AE:$AE,"",0)/1000</f>
        <v>4.6302038100000003</v>
      </c>
      <c r="F17" s="23">
        <f>_xlfn.XLOOKUP($A17,[1]Value!$B:$B,[1]Value!$AF:$AF,"",0)/1000</f>
        <v>5.3273220000000006</v>
      </c>
      <c r="G17" s="23">
        <f>_xlfn.XLOOKUP($A17,[1]Value!$B:$B,[1]Value!$AG:$AG,"",0)/1000</f>
        <v>7.7736260000000001</v>
      </c>
      <c r="H17" s="23">
        <f>_xlfn.XLOOKUP($A17,[1]Value!$B:$B,[1]Value!$AI:$AI,"",0)</f>
        <v>34.969642999999998</v>
      </c>
      <c r="I17" s="23">
        <f>_xlfn.XLOOKUP($A17,[1]Value!$B:$B,[1]Value!$AJ:$AJ,"",0)</f>
        <v>20.619732999999997</v>
      </c>
      <c r="J17" s="23">
        <f>_xlfn.XLOOKUP($A17,[1]Value!$B:$B,[1]Value!$AK:$AK,"",0)</f>
        <v>5.9029999999999996</v>
      </c>
      <c r="K17" s="49">
        <f t="shared" si="1"/>
        <v>132406379</v>
      </c>
      <c r="L17" s="50">
        <f t="shared" si="2"/>
        <v>258360377</v>
      </c>
      <c r="M17" s="50">
        <f t="shared" si="3"/>
        <v>1316894122</v>
      </c>
      <c r="N17" s="24" t="s">
        <v>164</v>
      </c>
      <c r="O17" s="25">
        <v>46295</v>
      </c>
      <c r="P17" s="24" t="s">
        <v>66</v>
      </c>
      <c r="Q17" s="24"/>
      <c r="R17" s="2"/>
      <c r="S17" s="2"/>
      <c r="T17" s="2"/>
      <c r="U17" s="2"/>
      <c r="V17" s="2"/>
      <c r="W17" s="2"/>
      <c r="X17" s="2"/>
      <c r="Y17" s="2"/>
      <c r="Z17" s="2"/>
    </row>
    <row r="18" spans="1:26" ht="20" customHeight="1" x14ac:dyDescent="0.25">
      <c r="A18" s="3" t="s">
        <v>188</v>
      </c>
      <c r="B18" s="3" t="s">
        <v>189</v>
      </c>
      <c r="C18" s="3" t="s">
        <v>183</v>
      </c>
      <c r="D18" s="3">
        <v>12</v>
      </c>
      <c r="E18" s="23">
        <f>_xlfn.XLOOKUP($A18,[1]Value!$B:$B,[1]Value!$AE:$AE,"",0)/1000</f>
        <v>1.330589173504374</v>
      </c>
      <c r="F18" s="23">
        <f>_xlfn.XLOOKUP($A18,[1]Value!$B:$B,[1]Value!$AF:$AF,"",0)/1000</f>
        <v>1.628316720076578</v>
      </c>
      <c r="G18" s="23">
        <f>_xlfn.XLOOKUP($A18,[1]Value!$B:$B,[1]Value!$AG:$AG,"",0)/1000</f>
        <v>2.4287710000000002</v>
      </c>
      <c r="H18" s="23">
        <f>_xlfn.XLOOKUP($A18,[1]Value!$B:$B,[1]Value!$AI:$AI,"",0)</f>
        <v>4.8983569999999999</v>
      </c>
      <c r="I18" s="23">
        <f>_xlfn.XLOOKUP($A18,[1]Value!$B:$B,[1]Value!$AJ:$AJ,"",0)</f>
        <v>5.9456319999999998</v>
      </c>
      <c r="J18" s="23">
        <f>_xlfn.XLOOKUP($A18,[1]Value!$B:$B,[1]Value!$AK:$AK,"",0)</f>
        <v>8.9740000000000002</v>
      </c>
      <c r="K18" s="49">
        <f t="shared" si="1"/>
        <v>271639893</v>
      </c>
      <c r="L18" s="50">
        <f t="shared" si="2"/>
        <v>273867727</v>
      </c>
      <c r="M18" s="50">
        <f t="shared" si="3"/>
        <v>270645309</v>
      </c>
      <c r="N18" s="24" t="s">
        <v>164</v>
      </c>
      <c r="O18" s="25">
        <v>46295</v>
      </c>
      <c r="P18" s="24" t="s">
        <v>66</v>
      </c>
      <c r="Q18" s="24"/>
      <c r="R18" s="2"/>
      <c r="S18" s="2"/>
      <c r="T18" s="2"/>
      <c r="U18" s="2"/>
      <c r="V18" s="2"/>
      <c r="W18" s="2"/>
      <c r="X18" s="2"/>
      <c r="Y18" s="2"/>
      <c r="Z18" s="2"/>
    </row>
    <row r="19" spans="1:26" ht="20" customHeight="1" x14ac:dyDescent="0.25">
      <c r="A19" s="3" t="s">
        <v>190</v>
      </c>
      <c r="B19" s="3" t="s">
        <v>191</v>
      </c>
      <c r="C19" s="3" t="s">
        <v>183</v>
      </c>
      <c r="D19" s="3">
        <v>10</v>
      </c>
      <c r="E19" s="23">
        <f>_xlfn.XLOOKUP($A19,[1]Value!$B:$B,[1]Value!$AE:$AE,"",0)/1000</f>
        <v>1.133732849185048</v>
      </c>
      <c r="F19" s="23">
        <f>_xlfn.XLOOKUP($A19,[1]Value!$B:$B,[1]Value!$AF:$AF,"",0)/1000</f>
        <v>1.291449517306601</v>
      </c>
      <c r="G19" s="23">
        <f>_xlfn.XLOOKUP($A19,[1]Value!$B:$B,[1]Value!$AG:$AG,"",0)/1000</f>
        <v>3.4702830000000002</v>
      </c>
      <c r="H19" s="23">
        <f>_xlfn.XLOOKUP($A19,[1]Value!$B:$B,[1]Value!$AI:$AI,"",0)</f>
        <v>7.1758559999999996</v>
      </c>
      <c r="I19" s="23">
        <f>_xlfn.XLOOKUP($A19,[1]Value!$B:$B,[1]Value!$AJ:$AJ,"",0)</f>
        <v>6.7076220000000006</v>
      </c>
      <c r="J19" s="23">
        <f>_xlfn.XLOOKUP($A19,[1]Value!$B:$B,[1]Value!$AK:$AK,"",0)</f>
        <v>17.901999999999997</v>
      </c>
      <c r="K19" s="49">
        <f t="shared" si="1"/>
        <v>157992698</v>
      </c>
      <c r="L19" s="50">
        <f t="shared" si="2"/>
        <v>192534630</v>
      </c>
      <c r="M19" s="50">
        <f t="shared" si="3"/>
        <v>193848900</v>
      </c>
      <c r="N19" s="24" t="s">
        <v>164</v>
      </c>
      <c r="O19" s="25">
        <v>46295</v>
      </c>
      <c r="P19" s="24" t="s">
        <v>66</v>
      </c>
      <c r="Q19" s="24"/>
      <c r="R19" s="2"/>
      <c r="S19" s="2"/>
      <c r="T19" s="2"/>
      <c r="U19" s="2"/>
      <c r="V19" s="2"/>
      <c r="W19" s="2"/>
      <c r="X19" s="2"/>
      <c r="Y19" s="2"/>
      <c r="Z19" s="2"/>
    </row>
    <row r="20" spans="1:26" ht="20" customHeight="1" x14ac:dyDescent="0.25">
      <c r="A20" s="3" t="s">
        <v>192</v>
      </c>
      <c r="B20" s="3" t="s">
        <v>193</v>
      </c>
      <c r="C20" s="3" t="s">
        <v>194</v>
      </c>
      <c r="D20" s="3">
        <v>12</v>
      </c>
      <c r="E20" s="23">
        <f>_xlfn.XLOOKUP($A20,[1]Value!$B:$B,[1]Value!$AE:$AE,"",0)/1000</f>
        <v>3.322749574074074</v>
      </c>
      <c r="F20" s="23">
        <f>_xlfn.XLOOKUP($A20,[1]Value!$B:$B,[1]Value!$AF:$AF,"",0)/1000</f>
        <v>4.5023011532390758</v>
      </c>
      <c r="G20" s="23">
        <f>_xlfn.XLOOKUP($A20,[1]Value!$B:$B,[1]Value!$AG:$AG,"",0)/1000</f>
        <v>6.2732409999999996</v>
      </c>
      <c r="H20" s="23">
        <f>_xlfn.XLOOKUP($A20,[1]Value!$B:$B,[1]Value!$AI:$AI,"",0)</f>
        <v>2.6401460000000001</v>
      </c>
      <c r="I20" s="23">
        <f>_xlfn.XLOOKUP($A20,[1]Value!$B:$B,[1]Value!$AJ:$AJ,"",0)</f>
        <v>3.555561</v>
      </c>
      <c r="J20" s="23">
        <f>_xlfn.XLOOKUP($A20,[1]Value!$B:$B,[1]Value!$AK:$AK,"",0)</f>
        <v>4.9129999999999994</v>
      </c>
      <c r="K20" s="49">
        <f t="shared" si="1"/>
        <v>1258547661</v>
      </c>
      <c r="L20" s="50">
        <f t="shared" si="2"/>
        <v>1266270260</v>
      </c>
      <c r="M20" s="50">
        <f t="shared" si="3"/>
        <v>1276865663</v>
      </c>
      <c r="N20" s="24" t="s">
        <v>164</v>
      </c>
      <c r="O20" s="25">
        <v>46295</v>
      </c>
      <c r="P20" s="24" t="s">
        <v>66</v>
      </c>
      <c r="Q20" s="24"/>
      <c r="R20" s="2"/>
      <c r="S20" s="2"/>
      <c r="T20" s="2"/>
      <c r="U20" s="2"/>
      <c r="V20" s="2"/>
      <c r="W20" s="2"/>
      <c r="X20" s="2"/>
      <c r="Y20" s="2"/>
      <c r="Z20" s="2"/>
    </row>
    <row r="21" spans="1:26" ht="20" customHeight="1" x14ac:dyDescent="0.25">
      <c r="A21" s="3" t="s">
        <v>195</v>
      </c>
      <c r="B21" s="3" t="s">
        <v>196</v>
      </c>
      <c r="C21" s="3" t="s">
        <v>194</v>
      </c>
      <c r="D21" s="3">
        <v>7</v>
      </c>
      <c r="E21" s="23">
        <f>_xlfn.XLOOKUP($A21,[1]Value!$B:$B,[1]Value!$AE:$AE,"",0)/1000</f>
        <v>10.992923295801619</v>
      </c>
      <c r="F21" s="23">
        <f>_xlfn.XLOOKUP($A21,[1]Value!$B:$B,[1]Value!$AF:$AF,"",0)/1000</f>
        <v>15.640369024327113</v>
      </c>
      <c r="G21" s="23">
        <f>_xlfn.XLOOKUP($A21,[1]Value!$B:$B,[1]Value!$AG:$AG,"",0)/1000</f>
        <v>20.342567000000003</v>
      </c>
      <c r="H21" s="23">
        <f>_xlfn.XLOOKUP($A21,[1]Value!$B:$B,[1]Value!$AI:$AI,"",0)</f>
        <v>2.771182</v>
      </c>
      <c r="I21" s="23">
        <f>_xlfn.XLOOKUP($A21,[1]Value!$B:$B,[1]Value!$AJ:$AJ,"",0)</f>
        <v>3.9518430000000002</v>
      </c>
      <c r="J21" s="23">
        <f>_xlfn.XLOOKUP($A21,[1]Value!$B:$B,[1]Value!$AK:$AK,"",0)</f>
        <v>5.1320000000000006</v>
      </c>
      <c r="K21" s="49">
        <f t="shared" si="1"/>
        <v>3966871644</v>
      </c>
      <c r="L21" s="50">
        <f t="shared" si="2"/>
        <v>3957740483</v>
      </c>
      <c r="M21" s="50">
        <f t="shared" si="3"/>
        <v>3963867303</v>
      </c>
      <c r="N21" s="24" t="s">
        <v>164</v>
      </c>
      <c r="O21" s="25">
        <v>46295</v>
      </c>
      <c r="P21" s="24" t="s">
        <v>66</v>
      </c>
      <c r="Q21" s="24"/>
      <c r="R21" s="2"/>
      <c r="S21" s="2"/>
      <c r="T21" s="2"/>
      <c r="U21" s="2"/>
      <c r="V21" s="2"/>
      <c r="W21" s="2"/>
      <c r="X21" s="2"/>
      <c r="Y21" s="2"/>
      <c r="Z21" s="2"/>
    </row>
    <row r="22" spans="1:26" ht="20" customHeight="1" x14ac:dyDescent="0.25">
      <c r="A22" s="3" t="s">
        <v>197</v>
      </c>
      <c r="B22" s="3" t="s">
        <v>198</v>
      </c>
      <c r="C22" s="3" t="s">
        <v>194</v>
      </c>
      <c r="D22" s="3">
        <v>1</v>
      </c>
      <c r="E22" s="23">
        <f>_xlfn.XLOOKUP($A22,[1]Value!$B:$B,[1]Value!$AE:$AE,"",0)/1000</f>
        <v>1.0114179999999999</v>
      </c>
      <c r="F22" s="23">
        <f>_xlfn.XLOOKUP($A22,[1]Value!$B:$B,[1]Value!$AF:$AF,"",0)/1000</f>
        <v>2.102789</v>
      </c>
      <c r="G22" s="23">
        <f>_xlfn.XLOOKUP($A22,[1]Value!$B:$B,[1]Value!$AG:$AG,"",0)/1000</f>
        <v>5.6645730000000007</v>
      </c>
      <c r="H22" s="23">
        <f>_xlfn.XLOOKUP($A22,[1]Value!$B:$B,[1]Value!$AI:$AI,"",0)</f>
        <v>1.1744839999999999</v>
      </c>
      <c r="I22" s="23">
        <f>_xlfn.XLOOKUP($A22,[1]Value!$B:$B,[1]Value!$AJ:$AJ,"",0)</f>
        <v>2.3422400000000003</v>
      </c>
      <c r="J22" s="23">
        <f>_xlfn.XLOOKUP($A22,[1]Value!$B:$B,[1]Value!$AK:$AK,"",0)</f>
        <v>6.1379999999999999</v>
      </c>
      <c r="K22" s="49">
        <f t="shared" si="1"/>
        <v>861159454</v>
      </c>
      <c r="L22" s="50">
        <f t="shared" si="2"/>
        <v>897768376</v>
      </c>
      <c r="M22" s="50">
        <f t="shared" si="3"/>
        <v>922869501</v>
      </c>
      <c r="N22" s="24" t="s">
        <v>164</v>
      </c>
      <c r="O22" s="25">
        <v>46295</v>
      </c>
      <c r="P22" s="24" t="s">
        <v>66</v>
      </c>
      <c r="Q22" s="24"/>
      <c r="R22" s="2"/>
      <c r="S22" s="2"/>
      <c r="T22" s="2"/>
      <c r="U22" s="2"/>
      <c r="V22" s="2"/>
      <c r="W22" s="2"/>
      <c r="X22" s="2"/>
      <c r="Y22" s="2"/>
      <c r="Z22" s="2"/>
    </row>
    <row r="23" spans="1:26" ht="20" customHeight="1" x14ac:dyDescent="0.25">
      <c r="A23" s="3" t="s">
        <v>199</v>
      </c>
      <c r="B23" s="3" t="s">
        <v>200</v>
      </c>
      <c r="C23" s="3" t="s">
        <v>194</v>
      </c>
      <c r="D23" s="3">
        <v>12</v>
      </c>
      <c r="E23" s="23">
        <f>_xlfn.XLOOKUP($A23,[1]Value!$B:$B,[1]Value!$AE:$AE,"",0)/1000</f>
        <v>1.4690000000000001</v>
      </c>
      <c r="F23" s="23">
        <f>_xlfn.XLOOKUP($A23,[1]Value!$B:$B,[1]Value!$AF:$AF,"",0)/1000</f>
        <v>2.360636</v>
      </c>
      <c r="G23" s="23">
        <f>_xlfn.XLOOKUP($A23,[1]Value!$B:$B,[1]Value!$AG:$AG,"",0)/1000</f>
        <v>3.5064989999999998</v>
      </c>
      <c r="H23" s="23">
        <f>_xlfn.XLOOKUP($A23,[1]Value!$B:$B,[1]Value!$AI:$AI,"",0)</f>
        <v>1.7174809999999998</v>
      </c>
      <c r="I23" s="23">
        <f>_xlfn.XLOOKUP($A23,[1]Value!$B:$B,[1]Value!$AJ:$AJ,"",0)</f>
        <v>2.735026</v>
      </c>
      <c r="J23" s="23">
        <f>_xlfn.XLOOKUP($A23,[1]Value!$B:$B,[1]Value!$AK:$AK,"",0)</f>
        <v>3.9970000000000003</v>
      </c>
      <c r="K23" s="49">
        <f t="shared" si="1"/>
        <v>855322417</v>
      </c>
      <c r="L23" s="50">
        <f t="shared" si="2"/>
        <v>863112819</v>
      </c>
      <c r="M23" s="50">
        <f t="shared" si="3"/>
        <v>877282712</v>
      </c>
      <c r="N23" s="24" t="s">
        <v>164</v>
      </c>
      <c r="O23" s="25">
        <v>46295</v>
      </c>
      <c r="P23" s="24" t="s">
        <v>66</v>
      </c>
      <c r="Q23" s="24"/>
      <c r="R23" s="2"/>
      <c r="S23" s="2"/>
      <c r="T23" s="2"/>
      <c r="U23" s="2"/>
      <c r="V23" s="2"/>
      <c r="W23" s="2"/>
      <c r="X23" s="2"/>
      <c r="Y23" s="2"/>
      <c r="Z23" s="2"/>
    </row>
    <row r="24" spans="1:26" ht="20" customHeight="1" x14ac:dyDescent="0.25">
      <c r="A24" s="3" t="s">
        <v>201</v>
      </c>
      <c r="B24" s="3" t="s">
        <v>202</v>
      </c>
      <c r="C24" s="3" t="s">
        <v>194</v>
      </c>
      <c r="D24" s="3">
        <v>12</v>
      </c>
      <c r="E24" s="23">
        <f>_xlfn.XLOOKUP($A24,[1]Value!$B:$B,[1]Value!$AE:$AE,"",0)/1000</f>
        <v>3.8201999999999998</v>
      </c>
      <c r="F24" s="23">
        <f>_xlfn.XLOOKUP($A24,[1]Value!$B:$B,[1]Value!$AF:$AF,"",0)/1000</f>
        <v>6.332954</v>
      </c>
      <c r="G24" s="23">
        <f>_xlfn.XLOOKUP($A24,[1]Value!$B:$B,[1]Value!$AG:$AG,"",0)/1000</f>
        <v>7.9965560000000009</v>
      </c>
      <c r="H24" s="23">
        <f>_xlfn.XLOOKUP($A24,[1]Value!$B:$B,[1]Value!$AI:$AI,"",0)</f>
        <v>3.1449730000000002</v>
      </c>
      <c r="I24" s="23">
        <f>_xlfn.XLOOKUP($A24,[1]Value!$B:$B,[1]Value!$AJ:$AJ,"",0)</f>
        <v>4.3651910000000003</v>
      </c>
      <c r="J24" s="23">
        <f>_xlfn.XLOOKUP($A24,[1]Value!$B:$B,[1]Value!$AK:$AK,"",0)</f>
        <v>3.081</v>
      </c>
      <c r="K24" s="49">
        <f t="shared" si="1"/>
        <v>1214700412</v>
      </c>
      <c r="L24" s="50">
        <f t="shared" si="2"/>
        <v>1450785086</v>
      </c>
      <c r="M24" s="50">
        <f t="shared" si="3"/>
        <v>2595441740</v>
      </c>
      <c r="N24" s="24" t="s">
        <v>164</v>
      </c>
      <c r="O24" s="25">
        <v>46295</v>
      </c>
      <c r="P24" s="24" t="s">
        <v>66</v>
      </c>
      <c r="Q24" s="24"/>
      <c r="R24" s="2"/>
      <c r="S24" s="2"/>
      <c r="T24" s="2"/>
      <c r="U24" s="2"/>
      <c r="V24" s="2"/>
      <c r="W24" s="2"/>
      <c r="X24" s="2"/>
      <c r="Y24" s="2"/>
      <c r="Z24" s="2"/>
    </row>
    <row r="25" spans="1:26" ht="20" customHeight="1" x14ac:dyDescent="0.25">
      <c r="A25" s="3" t="s">
        <v>203</v>
      </c>
      <c r="B25" s="3" t="s">
        <v>204</v>
      </c>
      <c r="C25" s="3" t="s">
        <v>194</v>
      </c>
      <c r="D25" s="3">
        <v>6</v>
      </c>
      <c r="E25" s="23">
        <f>_xlfn.XLOOKUP($A25,[1]Value!$B:$B,[1]Value!$AE:$AE,"",0)/1000</f>
        <v>0.109715096428603</v>
      </c>
      <c r="F25" s="23">
        <f>_xlfn.XLOOKUP($A25,[1]Value!$B:$B,[1]Value!$AF:$AF,"",0)/1000</f>
        <v>0.88752247608238399</v>
      </c>
      <c r="G25" s="23">
        <f>_xlfn.XLOOKUP($A25,[1]Value!$B:$B,[1]Value!$AG:$AG,"",0)/1000</f>
        <v>2.5579340000000004</v>
      </c>
      <c r="H25" s="23">
        <f>_xlfn.XLOOKUP($A25,[1]Value!$B:$B,[1]Value!$AI:$AI,"",0)</f>
        <v>1.5618270000000001</v>
      </c>
      <c r="I25" s="23">
        <f>_xlfn.XLOOKUP($A25,[1]Value!$B:$B,[1]Value!$AJ:$AJ,"",0)</f>
        <v>10.035530999999999</v>
      </c>
      <c r="J25" s="23">
        <f>_xlfn.XLOOKUP($A25,[1]Value!$B:$B,[1]Value!$AK:$AK,"",0)</f>
        <v>24.753</v>
      </c>
      <c r="K25" s="49">
        <f t="shared" si="1"/>
        <v>70247919</v>
      </c>
      <c r="L25" s="50">
        <f t="shared" si="2"/>
        <v>88438018</v>
      </c>
      <c r="M25" s="50">
        <f t="shared" si="3"/>
        <v>103338343</v>
      </c>
      <c r="N25" s="24" t="s">
        <v>164</v>
      </c>
      <c r="O25" s="25">
        <v>46295</v>
      </c>
      <c r="P25" s="24" t="s">
        <v>66</v>
      </c>
      <c r="Q25" s="24"/>
      <c r="R25" s="2"/>
      <c r="S25" s="2"/>
      <c r="T25" s="2"/>
      <c r="U25" s="2"/>
      <c r="V25" s="2"/>
      <c r="W25" s="2"/>
      <c r="X25" s="2"/>
      <c r="Y25" s="2"/>
      <c r="Z25" s="2"/>
    </row>
    <row r="26" spans="1:26" ht="20" customHeight="1" x14ac:dyDescent="0.25">
      <c r="A26" s="3" t="s">
        <v>205</v>
      </c>
      <c r="B26" s="3" t="s">
        <v>206</v>
      </c>
      <c r="C26" s="3" t="s">
        <v>194</v>
      </c>
      <c r="D26" s="3">
        <v>6</v>
      </c>
      <c r="E26" s="23">
        <f>_xlfn.XLOOKUP($A26,[1]Value!$B:$B,[1]Value!$AE:$AE,"",0)/1000</f>
        <v>0.371697882331681</v>
      </c>
      <c r="F26" s="23">
        <f>_xlfn.XLOOKUP($A26,[1]Value!$B:$B,[1]Value!$AF:$AF,"",0)/1000</f>
        <v>1.0505765117457799</v>
      </c>
      <c r="G26" s="23">
        <f>_xlfn.XLOOKUP($A26,[1]Value!$B:$B,[1]Value!$AG:$AG,"",0)/1000</f>
        <v>2.2233379999999996</v>
      </c>
      <c r="H26" s="23">
        <f>_xlfn.XLOOKUP($A26,[1]Value!$B:$B,[1]Value!$AI:$AI,"",0)</f>
        <v>1.5451999999999999</v>
      </c>
      <c r="I26" s="23">
        <f>_xlfn.XLOOKUP($A26,[1]Value!$B:$B,[1]Value!$AJ:$AJ,"",0)</f>
        <v>5.4591460000000005</v>
      </c>
      <c r="J26" s="23">
        <f>_xlfn.XLOOKUP($A26,[1]Value!$B:$B,[1]Value!$AK:$AK,"",0)</f>
        <v>10.699</v>
      </c>
      <c r="K26" s="49">
        <f t="shared" si="1"/>
        <v>240550014</v>
      </c>
      <c r="L26" s="50">
        <f t="shared" si="2"/>
        <v>192443381</v>
      </c>
      <c r="M26" s="50">
        <f t="shared" si="3"/>
        <v>207808019</v>
      </c>
      <c r="N26" s="24" t="s">
        <v>164</v>
      </c>
      <c r="O26" s="25">
        <v>46295</v>
      </c>
      <c r="P26" s="24" t="s">
        <v>66</v>
      </c>
      <c r="Q26" s="24"/>
      <c r="R26" s="2"/>
      <c r="S26" s="2"/>
      <c r="T26" s="2"/>
      <c r="U26" s="2"/>
      <c r="V26" s="2"/>
      <c r="W26" s="2"/>
      <c r="X26" s="2"/>
      <c r="Y26" s="2"/>
      <c r="Z26" s="2"/>
    </row>
    <row r="27" spans="1:26" ht="20" customHeight="1" x14ac:dyDescent="0.25">
      <c r="A27" s="3" t="s">
        <v>207</v>
      </c>
      <c r="B27" s="3" t="s">
        <v>208</v>
      </c>
      <c r="C27" s="3" t="s">
        <v>209</v>
      </c>
      <c r="D27" s="3">
        <v>1</v>
      </c>
      <c r="E27" s="23">
        <f>_xlfn.XLOOKUP($A27,[1]Value!$B:$B,[1]Value!$AE:$AE,"",0)/1000</f>
        <v>5.365186331301139</v>
      </c>
      <c r="F27" s="23">
        <f>_xlfn.XLOOKUP($A27,[1]Value!$B:$B,[1]Value!$AF:$AF,"",0)/1000</f>
        <v>14.03614699600398</v>
      </c>
      <c r="G27" s="23">
        <f>_xlfn.XLOOKUP($A27,[1]Value!$B:$B,[1]Value!$AG:$AG,"",0)/1000</f>
        <v>19.005972</v>
      </c>
      <c r="H27" s="23">
        <f>_xlfn.XLOOKUP($A27,[1]Value!$B:$B,[1]Value!$AI:$AI,"",0)</f>
        <v>7.8355529999999991</v>
      </c>
      <c r="I27" s="23">
        <f>_xlfn.XLOOKUP($A27,[1]Value!$B:$B,[1]Value!$AJ:$AJ,"",0)</f>
        <v>21.624397999999999</v>
      </c>
      <c r="J27" s="23">
        <f>_xlfn.XLOOKUP($A27,[1]Value!$B:$B,[1]Value!$AK:$AK,"",0)</f>
        <v>29.671000000000003</v>
      </c>
      <c r="K27" s="49">
        <f t="shared" si="1"/>
        <v>684723380</v>
      </c>
      <c r="L27" s="50">
        <f t="shared" si="2"/>
        <v>649088451</v>
      </c>
      <c r="M27" s="50">
        <f t="shared" si="3"/>
        <v>640557177</v>
      </c>
      <c r="N27" s="24" t="s">
        <v>164</v>
      </c>
      <c r="O27" s="25">
        <v>46295</v>
      </c>
      <c r="P27" s="24" t="s">
        <v>66</v>
      </c>
      <c r="Q27" s="24"/>
      <c r="R27" s="2"/>
      <c r="S27" s="2"/>
      <c r="T27" s="2"/>
      <c r="U27" s="2"/>
      <c r="V27" s="2"/>
      <c r="W27" s="2"/>
      <c r="X27" s="2"/>
      <c r="Y27" s="2"/>
      <c r="Z27" s="2"/>
    </row>
    <row r="28" spans="1:26" ht="20" customHeight="1" x14ac:dyDescent="0.25">
      <c r="A28" s="3" t="s">
        <v>210</v>
      </c>
      <c r="B28" s="3" t="s">
        <v>211</v>
      </c>
      <c r="C28" s="3" t="s">
        <v>209</v>
      </c>
      <c r="D28" s="3">
        <v>10</v>
      </c>
      <c r="E28" s="23">
        <f>_xlfn.XLOOKUP($A28,[1]Value!$B:$B,[1]Value!$AE:$AE,"",0)/1000</f>
        <v>1.859497936929515</v>
      </c>
      <c r="F28" s="23">
        <f>_xlfn.XLOOKUP($A28,[1]Value!$B:$B,[1]Value!$AF:$AF,"",0)/1000</f>
        <v>4.6604949908256881</v>
      </c>
      <c r="G28" s="23">
        <f>_xlfn.XLOOKUP($A28,[1]Value!$B:$B,[1]Value!$AG:$AG,"",0)/1000</f>
        <v>6.5153789999999994</v>
      </c>
      <c r="H28" s="23">
        <f>_xlfn.XLOOKUP($A28,[1]Value!$B:$B,[1]Value!$AI:$AI,"",0)</f>
        <v>1.317526</v>
      </c>
      <c r="I28" s="23">
        <f>_xlfn.XLOOKUP($A28,[1]Value!$B:$B,[1]Value!$AJ:$AJ,"",0)</f>
        <v>3.3243910000000003</v>
      </c>
      <c r="J28" s="23">
        <f>_xlfn.XLOOKUP($A28,[1]Value!$B:$B,[1]Value!$AK:$AK,"",0)</f>
        <v>4.5359999999999996</v>
      </c>
      <c r="K28" s="49">
        <f t="shared" si="1"/>
        <v>1411355781</v>
      </c>
      <c r="L28" s="50">
        <f t="shared" si="2"/>
        <v>1401909400</v>
      </c>
      <c r="M28" s="50">
        <f t="shared" si="3"/>
        <v>1436371032</v>
      </c>
      <c r="N28" s="24" t="s">
        <v>164</v>
      </c>
      <c r="O28" s="25">
        <v>46295</v>
      </c>
      <c r="P28" s="24" t="s">
        <v>66</v>
      </c>
      <c r="Q28" s="24"/>
      <c r="R28" s="2"/>
      <c r="S28" s="2"/>
      <c r="T28" s="2"/>
      <c r="U28" s="2"/>
      <c r="V28" s="2"/>
      <c r="W28" s="2"/>
      <c r="X28" s="2"/>
      <c r="Y28" s="2"/>
      <c r="Z28" s="2"/>
    </row>
    <row r="29" spans="1:26" ht="20" customHeight="1" x14ac:dyDescent="0.25">
      <c r="A29" s="3" t="s">
        <v>212</v>
      </c>
      <c r="B29" s="3" t="s">
        <v>213</v>
      </c>
      <c r="C29" s="3" t="s">
        <v>209</v>
      </c>
      <c r="D29" s="3">
        <v>6</v>
      </c>
      <c r="E29" s="23">
        <f>_xlfn.XLOOKUP($A29,[1]Value!$B:$B,[1]Value!$AE:$AE,"",0)/1000</f>
        <v>0.82472571318342003</v>
      </c>
      <c r="F29" s="23">
        <f>_xlfn.XLOOKUP($A29,[1]Value!$B:$B,[1]Value!$AF:$AF,"",0)/1000</f>
        <v>2.8791320000000002</v>
      </c>
      <c r="G29" s="23">
        <f>_xlfn.XLOOKUP($A29,[1]Value!$B:$B,[1]Value!$AG:$AG,"",0)/1000</f>
        <v>3.6858310000000003</v>
      </c>
      <c r="H29" s="23">
        <f>_xlfn.XLOOKUP($A29,[1]Value!$B:$B,[1]Value!$AI:$AI,"",0)</f>
        <v>1.3889590000000001</v>
      </c>
      <c r="I29" s="23">
        <f>_xlfn.XLOOKUP($A29,[1]Value!$B:$B,[1]Value!$AJ:$AJ,"",0)</f>
        <v>4.4070739999999997</v>
      </c>
      <c r="J29" s="23">
        <f>_xlfn.XLOOKUP($A29,[1]Value!$B:$B,[1]Value!$AK:$AK,"",0)</f>
        <v>4.5720000000000001</v>
      </c>
      <c r="K29" s="49">
        <f t="shared" si="1"/>
        <v>593772540</v>
      </c>
      <c r="L29" s="50">
        <f t="shared" si="2"/>
        <v>653297857</v>
      </c>
      <c r="M29" s="50">
        <f t="shared" si="3"/>
        <v>806174759</v>
      </c>
      <c r="N29" s="24" t="s">
        <v>164</v>
      </c>
      <c r="O29" s="25">
        <v>46295</v>
      </c>
      <c r="P29" s="24" t="s">
        <v>66</v>
      </c>
      <c r="Q29" s="24"/>
      <c r="R29" s="2"/>
      <c r="S29" s="2"/>
      <c r="T29" s="2"/>
      <c r="U29" s="2"/>
      <c r="V29" s="2"/>
      <c r="W29" s="2"/>
      <c r="X29" s="2"/>
      <c r="Y29" s="2"/>
      <c r="Z29" s="2"/>
    </row>
    <row r="30" spans="1:26" ht="20" customHeight="1" x14ac:dyDescent="0.25">
      <c r="A30" s="3" t="s">
        <v>214</v>
      </c>
      <c r="B30" s="3" t="s">
        <v>215</v>
      </c>
      <c r="C30" s="3" t="s">
        <v>209</v>
      </c>
      <c r="D30" s="3">
        <v>6</v>
      </c>
      <c r="E30" s="23">
        <f>_xlfn.XLOOKUP($A30,[1]Value!$B:$B,[1]Value!$AE:$AE,"",0)/1000</f>
        <v>2.5437634507501636</v>
      </c>
      <c r="F30" s="23">
        <f>_xlfn.XLOOKUP($A30,[1]Value!$B:$B,[1]Value!$AF:$AF,"",0)/1000</f>
        <v>6.1386274765695212</v>
      </c>
      <c r="G30" s="23">
        <f>_xlfn.XLOOKUP($A30,[1]Value!$B:$B,[1]Value!$AG:$AG,"",0)/1000</f>
        <v>9.0979240000000008</v>
      </c>
      <c r="H30" s="23">
        <f>_xlfn.XLOOKUP($A30,[1]Value!$B:$B,[1]Value!$AI:$AI,"",0)</f>
        <v>7.1386959999999995</v>
      </c>
      <c r="I30" s="23">
        <f>_xlfn.XLOOKUP($A30,[1]Value!$B:$B,[1]Value!$AJ:$AJ,"",0)</f>
        <v>16.953223999999999</v>
      </c>
      <c r="J30" s="23">
        <f>_xlfn.XLOOKUP($A30,[1]Value!$B:$B,[1]Value!$AK:$AK,"",0)</f>
        <v>23.722000000000001</v>
      </c>
      <c r="K30" s="49">
        <f t="shared" si="1"/>
        <v>356334469</v>
      </c>
      <c r="L30" s="50">
        <f t="shared" si="2"/>
        <v>362092041</v>
      </c>
      <c r="M30" s="50">
        <f t="shared" si="3"/>
        <v>383522637</v>
      </c>
      <c r="N30" s="24" t="s">
        <v>164</v>
      </c>
      <c r="O30" s="25">
        <v>46295</v>
      </c>
      <c r="P30" s="24" t="s">
        <v>66</v>
      </c>
      <c r="Q30" s="24"/>
      <c r="R30" s="2"/>
      <c r="S30" s="2"/>
      <c r="T30" s="2"/>
      <c r="U30" s="2"/>
      <c r="V30" s="2"/>
      <c r="W30" s="2"/>
      <c r="X30" s="2"/>
      <c r="Y30" s="2"/>
      <c r="Z30" s="2"/>
    </row>
    <row r="31" spans="1:26" ht="20" customHeight="1" x14ac:dyDescent="0.25">
      <c r="A31" s="3" t="s">
        <v>216</v>
      </c>
      <c r="B31" s="3" t="s">
        <v>217</v>
      </c>
      <c r="C31" s="3" t="s">
        <v>209</v>
      </c>
      <c r="D31" s="3">
        <v>6</v>
      </c>
      <c r="E31" s="23">
        <f>_xlfn.XLOOKUP($A31,[1]Value!$B:$B,[1]Value!$AE:$AE,"",0)/1000</f>
        <v>1.7965469607843141</v>
      </c>
      <c r="F31" s="23">
        <f>_xlfn.XLOOKUP($A31,[1]Value!$B:$B,[1]Value!$AF:$AF,"",0)/1000</f>
        <v>4.5388944326205598</v>
      </c>
      <c r="G31" s="23">
        <f>_xlfn.XLOOKUP($A31,[1]Value!$B:$B,[1]Value!$AG:$AG,"",0)/1000</f>
        <v>9.487388000000001</v>
      </c>
      <c r="H31" s="23">
        <f>_xlfn.XLOOKUP($A31,[1]Value!$B:$B,[1]Value!$AI:$AI,"",0)</f>
        <v>8.461957</v>
      </c>
      <c r="I31" s="23">
        <f>_xlfn.XLOOKUP($A31,[1]Value!$B:$B,[1]Value!$AJ:$AJ,"",0)</f>
        <v>20.172922</v>
      </c>
      <c r="J31" s="23">
        <f>_xlfn.XLOOKUP($A31,[1]Value!$B:$B,[1]Value!$AK:$AK,"",0)</f>
        <v>41.038000000000004</v>
      </c>
      <c r="K31" s="49">
        <f t="shared" si="1"/>
        <v>212308685</v>
      </c>
      <c r="L31" s="50">
        <f t="shared" si="2"/>
        <v>224999355</v>
      </c>
      <c r="M31" s="50">
        <f t="shared" si="3"/>
        <v>231185438</v>
      </c>
      <c r="N31" s="24" t="s">
        <v>164</v>
      </c>
      <c r="O31" s="25">
        <v>46295</v>
      </c>
      <c r="P31" s="24" t="s">
        <v>66</v>
      </c>
      <c r="Q31" s="24"/>
      <c r="R31" s="2"/>
      <c r="S31" s="2"/>
      <c r="T31" s="2"/>
      <c r="U31" s="2"/>
      <c r="V31" s="2"/>
      <c r="W31" s="2"/>
      <c r="X31" s="2"/>
      <c r="Y31" s="2"/>
      <c r="Z31" s="2"/>
    </row>
    <row r="32" spans="1:26" ht="20" customHeight="1" x14ac:dyDescent="0.25">
      <c r="A32" s="3" t="s">
        <v>218</v>
      </c>
      <c r="B32" s="3" t="s">
        <v>219</v>
      </c>
      <c r="C32" s="3" t="s">
        <v>220</v>
      </c>
      <c r="D32" s="3">
        <v>12</v>
      </c>
      <c r="E32" s="23">
        <f>_xlfn.XLOOKUP($A32,[1]Value!$B:$B,[1]Value!$AE:$AE,"",0)/1000</f>
        <v>1.0709450000000003</v>
      </c>
      <c r="F32" s="23">
        <f>_xlfn.XLOOKUP($A32,[1]Value!$B:$B,[1]Value!$AF:$AF,"",0)/1000</f>
        <v>2.0808380000000004</v>
      </c>
      <c r="G32" s="23">
        <f>_xlfn.XLOOKUP($A32,[1]Value!$B:$B,[1]Value!$AG:$AG,"",0)/1000</f>
        <v>3.2759870000000002</v>
      </c>
      <c r="H32" s="23">
        <f>_xlfn.XLOOKUP($A32,[1]Value!$B:$B,[1]Value!$AI:$AI,"",0)</f>
        <v>2.81149</v>
      </c>
      <c r="I32" s="23">
        <f>_xlfn.XLOOKUP($A32,[1]Value!$B:$B,[1]Value!$AJ:$AJ,"",0)</f>
        <v>5.4156550000000001</v>
      </c>
      <c r="J32" s="23">
        <f>_xlfn.XLOOKUP($A32,[1]Value!$B:$B,[1]Value!$AK:$AK,"",0)</f>
        <v>8.5579999999999998</v>
      </c>
      <c r="K32" s="49">
        <f t="shared" si="1"/>
        <v>380917236</v>
      </c>
      <c r="L32" s="50">
        <f t="shared" si="2"/>
        <v>384226469</v>
      </c>
      <c r="M32" s="50">
        <f t="shared" si="3"/>
        <v>382798201</v>
      </c>
      <c r="N32" s="24" t="s">
        <v>164</v>
      </c>
      <c r="O32" s="25">
        <v>46295</v>
      </c>
      <c r="P32" s="24" t="s">
        <v>66</v>
      </c>
      <c r="Q32" s="24"/>
      <c r="R32" s="2"/>
      <c r="S32" s="2"/>
      <c r="T32" s="2"/>
      <c r="U32" s="2"/>
      <c r="V32" s="2"/>
      <c r="W32" s="2"/>
      <c r="X32" s="2"/>
      <c r="Y32" s="2"/>
      <c r="Z32" s="2"/>
    </row>
    <row r="33" spans="1:26" ht="20" customHeight="1" x14ac:dyDescent="0.25">
      <c r="A33" s="3" t="s">
        <v>221</v>
      </c>
      <c r="B33" s="3" t="s">
        <v>222</v>
      </c>
      <c r="C33" s="3" t="s">
        <v>220</v>
      </c>
      <c r="D33" s="3">
        <v>12</v>
      </c>
      <c r="E33" s="23">
        <f>_xlfn.XLOOKUP($A33,[1]Value!$B:$B,[1]Value!$AE:$AE,"",0)/1000</f>
        <v>4.173</v>
      </c>
      <c r="F33" s="23">
        <f>_xlfn.XLOOKUP($A33,[1]Value!$B:$B,[1]Value!$AF:$AF,"",0)/1000</f>
        <v>4.6301759999999996</v>
      </c>
      <c r="G33" s="23">
        <f>_xlfn.XLOOKUP($A33,[1]Value!$B:$B,[1]Value!$AG:$AG,"",0)/1000</f>
        <v>6.0624670000000007</v>
      </c>
      <c r="H33" s="23">
        <f>_xlfn.XLOOKUP($A33,[1]Value!$B:$B,[1]Value!$AI:$AI,"",0)</f>
        <v>10.664785999999999</v>
      </c>
      <c r="I33" s="23">
        <f>_xlfn.XLOOKUP($A33,[1]Value!$B:$B,[1]Value!$AJ:$AJ,"",0)</f>
        <v>11.907653</v>
      </c>
      <c r="J33" s="23">
        <f>_xlfn.XLOOKUP($A33,[1]Value!$B:$B,[1]Value!$AK:$AK,"",0)</f>
        <v>15.608000000000001</v>
      </c>
      <c r="K33" s="49">
        <f t="shared" si="1"/>
        <v>391287739</v>
      </c>
      <c r="L33" s="50">
        <f t="shared" si="2"/>
        <v>388840353</v>
      </c>
      <c r="M33" s="50">
        <f t="shared" si="3"/>
        <v>388420489</v>
      </c>
      <c r="N33" s="24" t="s">
        <v>164</v>
      </c>
      <c r="O33" s="25">
        <v>46295</v>
      </c>
      <c r="P33" s="24" t="s">
        <v>66</v>
      </c>
      <c r="Q33" s="24"/>
      <c r="R33" s="2"/>
      <c r="S33" s="2"/>
      <c r="T33" s="2"/>
      <c r="U33" s="2"/>
      <c r="V33" s="2"/>
      <c r="W33" s="2"/>
      <c r="X33" s="2"/>
      <c r="Y33" s="2"/>
      <c r="Z33" s="2"/>
    </row>
    <row r="34" spans="1:26" ht="20" customHeight="1" x14ac:dyDescent="0.25">
      <c r="A34" s="3" t="s">
        <v>223</v>
      </c>
      <c r="B34" s="3" t="s">
        <v>224</v>
      </c>
      <c r="C34" s="3" t="s">
        <v>220</v>
      </c>
      <c r="D34" s="3">
        <v>12</v>
      </c>
      <c r="E34" s="23">
        <f>_xlfn.XLOOKUP($A34,[1]Value!$B:$B,[1]Value!$AE:$AE,"",0)/1000</f>
        <v>1.8959699999999997</v>
      </c>
      <c r="F34" s="23">
        <f>_xlfn.XLOOKUP($A34,[1]Value!$B:$B,[1]Value!$AF:$AF,"",0)/1000</f>
        <v>6.5965949999999998</v>
      </c>
      <c r="G34" s="23">
        <f>_xlfn.XLOOKUP($A34,[1]Value!$B:$B,[1]Value!$AG:$AG,"",0)/1000</f>
        <v>5.8737260000000004</v>
      </c>
      <c r="H34" s="23">
        <f>_xlfn.XLOOKUP($A34,[1]Value!$B:$B,[1]Value!$AI:$AI,"",0)</f>
        <v>6.9299619999999997</v>
      </c>
      <c r="I34" s="23">
        <f>_xlfn.XLOOKUP($A34,[1]Value!$B:$B,[1]Value!$AJ:$AJ,"",0)</f>
        <v>24.433443999999998</v>
      </c>
      <c r="J34" s="23">
        <f>_xlfn.XLOOKUP($A34,[1]Value!$B:$B,[1]Value!$AK:$AK,"",0)</f>
        <v>21.911000000000001</v>
      </c>
      <c r="K34" s="49">
        <f t="shared" si="1"/>
        <v>273590245</v>
      </c>
      <c r="L34" s="50">
        <f t="shared" si="2"/>
        <v>269982201</v>
      </c>
      <c r="M34" s="50">
        <f t="shared" si="3"/>
        <v>268072019</v>
      </c>
      <c r="N34" s="24" t="s">
        <v>164</v>
      </c>
      <c r="O34" s="25">
        <v>46295</v>
      </c>
      <c r="P34" s="24" t="s">
        <v>66</v>
      </c>
      <c r="Q34" s="24"/>
      <c r="R34" s="2"/>
      <c r="S34" s="2"/>
      <c r="T34" s="2"/>
      <c r="U34" s="2"/>
      <c r="V34" s="2"/>
      <c r="W34" s="2"/>
      <c r="X34" s="2"/>
      <c r="Y34" s="2"/>
      <c r="Z34" s="2"/>
    </row>
    <row r="35" spans="1:26" ht="20" customHeight="1" x14ac:dyDescent="0.25">
      <c r="A35" s="3" t="s">
        <v>225</v>
      </c>
      <c r="B35" s="3" t="s">
        <v>226</v>
      </c>
      <c r="C35" s="3" t="s">
        <v>220</v>
      </c>
      <c r="D35" s="3">
        <v>12</v>
      </c>
      <c r="E35" s="23">
        <f>_xlfn.XLOOKUP($A35,[1]Value!$B:$B,[1]Value!$AE:$AE,"",0)/1000</f>
        <v>1.5728211354063082</v>
      </c>
      <c r="F35" s="23">
        <f>_xlfn.XLOOKUP($A35,[1]Value!$B:$B,[1]Value!$AF:$AF,"",0)/1000</f>
        <v>1.6247518820867408</v>
      </c>
      <c r="G35" s="23">
        <f>_xlfn.XLOOKUP($A35,[1]Value!$B:$B,[1]Value!$AG:$AG,"",0)/1000</f>
        <v>2.6401379999999999</v>
      </c>
      <c r="H35" s="23">
        <f>_xlfn.XLOOKUP($A35,[1]Value!$B:$B,[1]Value!$AI:$AI,"",0)</f>
        <v>1.836017</v>
      </c>
      <c r="I35" s="23">
        <f>_xlfn.XLOOKUP($A35,[1]Value!$B:$B,[1]Value!$AJ:$AJ,"",0)</f>
        <v>1.9509110000000001</v>
      </c>
      <c r="J35" s="23">
        <f>_xlfn.XLOOKUP($A35,[1]Value!$B:$B,[1]Value!$AK:$AK,"",0)</f>
        <v>3.2120000000000002</v>
      </c>
      <c r="K35" s="49">
        <f t="shared" si="1"/>
        <v>856648460</v>
      </c>
      <c r="L35" s="50">
        <f t="shared" si="2"/>
        <v>832817018</v>
      </c>
      <c r="M35" s="50">
        <f t="shared" si="3"/>
        <v>821960772</v>
      </c>
      <c r="N35" s="24" t="s">
        <v>164</v>
      </c>
      <c r="O35" s="25">
        <v>46295</v>
      </c>
      <c r="P35" s="24" t="s">
        <v>66</v>
      </c>
      <c r="Q35" s="24"/>
      <c r="R35" s="2"/>
      <c r="S35" s="2"/>
      <c r="T35" s="2"/>
      <c r="U35" s="2"/>
      <c r="V35" s="2"/>
      <c r="W35" s="2"/>
      <c r="X35" s="2"/>
      <c r="Y35" s="2"/>
      <c r="Z35" s="2"/>
    </row>
    <row r="36" spans="1:26" ht="20" customHeight="1" x14ac:dyDescent="0.25">
      <c r="A36" s="3" t="s">
        <v>227</v>
      </c>
      <c r="B36" s="3" t="s">
        <v>228</v>
      </c>
      <c r="C36" s="3" t="s">
        <v>220</v>
      </c>
      <c r="D36" s="3">
        <v>12</v>
      </c>
      <c r="E36" s="23">
        <f>_xlfn.XLOOKUP($A36,[1]Value!$B:$B,[1]Value!$AE:$AE,"",0)/1000</f>
        <v>0.88451884103715206</v>
      </c>
      <c r="F36" s="23">
        <f>_xlfn.XLOOKUP($A36,[1]Value!$B:$B,[1]Value!$AF:$AF,"",0)/1000</f>
        <v>0.99076311272393403</v>
      </c>
      <c r="G36" s="23">
        <f>_xlfn.XLOOKUP($A36,[1]Value!$B:$B,[1]Value!$AG:$AG,"",0)/1000</f>
        <v>1.1769989999999999</v>
      </c>
      <c r="H36" s="23">
        <f>_xlfn.XLOOKUP($A36,[1]Value!$B:$B,[1]Value!$AI:$AI,"",0)</f>
        <v>16.561301</v>
      </c>
      <c r="I36" s="23">
        <f>_xlfn.XLOOKUP($A36,[1]Value!$B:$B,[1]Value!$AJ:$AJ,"",0)</f>
        <v>18.679874999999999</v>
      </c>
      <c r="J36" s="23">
        <f>_xlfn.XLOOKUP($A36,[1]Value!$B:$B,[1]Value!$AK:$AK,"",0)</f>
        <v>22.28</v>
      </c>
      <c r="K36" s="49">
        <f t="shared" si="1"/>
        <v>53408778</v>
      </c>
      <c r="L36" s="50">
        <f t="shared" si="2"/>
        <v>53039065</v>
      </c>
      <c r="M36" s="50">
        <f t="shared" si="3"/>
        <v>52827603</v>
      </c>
      <c r="N36" s="24" t="s">
        <v>164</v>
      </c>
      <c r="O36" s="25">
        <v>46295</v>
      </c>
      <c r="P36" s="24" t="s">
        <v>66</v>
      </c>
      <c r="Q36" s="24"/>
      <c r="R36" s="2"/>
      <c r="S36" s="2"/>
      <c r="T36" s="2"/>
      <c r="U36" s="2"/>
      <c r="V36" s="2"/>
      <c r="W36" s="2"/>
      <c r="X36" s="2"/>
      <c r="Y36" s="2"/>
      <c r="Z36" s="2"/>
    </row>
    <row r="37" spans="1:26" ht="20" customHeight="1" x14ac:dyDescent="0.25">
      <c r="A37" s="3" t="s">
        <v>229</v>
      </c>
      <c r="B37" s="3" t="s">
        <v>230</v>
      </c>
      <c r="C37" s="3" t="s">
        <v>220</v>
      </c>
      <c r="D37" s="3">
        <v>9</v>
      </c>
      <c r="E37" s="23">
        <f>_xlfn.XLOOKUP($A37,[1]Value!$B:$B,[1]Value!$AE:$AE,"",0)/1000</f>
        <v>2.056619838420108</v>
      </c>
      <c r="F37" s="23">
        <f>_xlfn.XLOOKUP($A37,[1]Value!$B:$B,[1]Value!$AF:$AF,"",0)/1000</f>
        <v>3.0971880000000001</v>
      </c>
      <c r="G37" s="23">
        <f>_xlfn.XLOOKUP($A37,[1]Value!$B:$B,[1]Value!$AG:$AG,"",0)/1000</f>
        <v>3.6606540000000005</v>
      </c>
      <c r="H37" s="23">
        <f>_xlfn.XLOOKUP($A37,[1]Value!$B:$B,[1]Value!$AI:$AI,"",0)</f>
        <v>3.1585220000000001</v>
      </c>
      <c r="I37" s="23">
        <f>_xlfn.XLOOKUP($A37,[1]Value!$B:$B,[1]Value!$AJ:$AJ,"",0)</f>
        <v>5.0906960000000003</v>
      </c>
      <c r="J37" s="23">
        <f>_xlfn.XLOOKUP($A37,[1]Value!$B:$B,[1]Value!$AK:$AK,"",0)</f>
        <v>6.0990000000000002</v>
      </c>
      <c r="K37" s="49">
        <f t="shared" si="1"/>
        <v>651133612</v>
      </c>
      <c r="L37" s="50">
        <f t="shared" si="2"/>
        <v>608401680</v>
      </c>
      <c r="M37" s="50">
        <f t="shared" si="3"/>
        <v>600205607</v>
      </c>
      <c r="N37" s="24" t="s">
        <v>164</v>
      </c>
      <c r="O37" s="25">
        <v>46295</v>
      </c>
      <c r="P37" s="24" t="s">
        <v>66</v>
      </c>
      <c r="Q37" s="24"/>
      <c r="R37" s="2"/>
      <c r="S37" s="2"/>
      <c r="T37" s="2"/>
      <c r="U37" s="2"/>
      <c r="V37" s="2"/>
      <c r="W37" s="2"/>
      <c r="X37" s="2"/>
      <c r="Y37" s="2"/>
      <c r="Z37" s="2"/>
    </row>
    <row r="38" spans="1:26" ht="20" customHeight="1" x14ac:dyDescent="0.25">
      <c r="A38" s="3" t="s">
        <v>231</v>
      </c>
      <c r="B38" s="3" t="s">
        <v>232</v>
      </c>
      <c r="C38" s="3" t="s">
        <v>233</v>
      </c>
      <c r="D38" s="3">
        <v>12</v>
      </c>
      <c r="E38" s="23">
        <f>_xlfn.XLOOKUP($A38,[1]Value!$B:$B,[1]Value!$AE:$AE,"",0)/1000</f>
        <v>1.0798052746457449</v>
      </c>
      <c r="F38" s="23">
        <f>_xlfn.XLOOKUP($A38,[1]Value!$B:$B,[1]Value!$AF:$AF,"",0)/1000</f>
        <v>1.8152560233969079</v>
      </c>
      <c r="G38" s="23">
        <f>_xlfn.XLOOKUP($A38,[1]Value!$B:$B,[1]Value!$AG:$AG,"",0)/1000</f>
        <v>2.8980000000000001</v>
      </c>
      <c r="H38" s="23">
        <f>_xlfn.XLOOKUP($A38,[1]Value!$B:$B,[1]Value!$AI:$AI,"",0)</f>
        <v>7.2744370000000007</v>
      </c>
      <c r="I38" s="23">
        <f>_xlfn.XLOOKUP($A38,[1]Value!$B:$B,[1]Value!$AJ:$AJ,"",0)</f>
        <v>12.025644</v>
      </c>
      <c r="J38" s="23">
        <f>_xlfn.XLOOKUP($A38,[1]Value!$B:$B,[1]Value!$AK:$AK,"",0)</f>
        <v>18.870999999999999</v>
      </c>
      <c r="K38" s="49">
        <f t="shared" si="1"/>
        <v>148438329</v>
      </c>
      <c r="L38" s="50">
        <f t="shared" si="2"/>
        <v>150948758</v>
      </c>
      <c r="M38" s="50">
        <f t="shared" si="3"/>
        <v>153568968</v>
      </c>
      <c r="N38" s="24" t="s">
        <v>164</v>
      </c>
      <c r="O38" s="25">
        <v>46295</v>
      </c>
      <c r="P38" s="24" t="s">
        <v>66</v>
      </c>
      <c r="Q38" s="24"/>
      <c r="R38" s="2"/>
      <c r="S38" s="2"/>
      <c r="T38" s="2"/>
      <c r="U38" s="2"/>
      <c r="V38" s="2"/>
      <c r="W38" s="2"/>
      <c r="X38" s="2"/>
      <c r="Y38" s="2"/>
      <c r="Z38" s="2"/>
    </row>
    <row r="39" spans="1:26" ht="20" customHeight="1" x14ac:dyDescent="0.25">
      <c r="A39" s="3" t="s">
        <v>234</v>
      </c>
      <c r="B39" s="3" t="s">
        <v>235</v>
      </c>
      <c r="C39" s="3" t="s">
        <v>233</v>
      </c>
      <c r="D39" s="3">
        <v>12</v>
      </c>
      <c r="E39" s="23">
        <f>_xlfn.XLOOKUP($A39,[1]Value!$B:$B,[1]Value!$AE:$AE,"",0)/1000</f>
        <v>1.1295715200000001</v>
      </c>
      <c r="F39" s="23">
        <f>_xlfn.XLOOKUP($A39,[1]Value!$B:$B,[1]Value!$AF:$AF,"",0)/1000</f>
        <v>1.3951280500000001</v>
      </c>
      <c r="G39" s="23">
        <f>_xlfn.XLOOKUP($A39,[1]Value!$B:$B,[1]Value!$AG:$AG,"",0)/1000</f>
        <v>1.5820000000000001</v>
      </c>
      <c r="H39" s="23">
        <f>_xlfn.XLOOKUP($A39,[1]Value!$B:$B,[1]Value!$AI:$AI,"",0)</f>
        <v>24.935422999999997</v>
      </c>
      <c r="I39" s="23">
        <f>_xlfn.XLOOKUP($A39,[1]Value!$B:$B,[1]Value!$AJ:$AJ,"",0)</f>
        <v>31.397475</v>
      </c>
      <c r="J39" s="23">
        <f>_xlfn.XLOOKUP($A39,[1]Value!$B:$B,[1]Value!$AK:$AK,"",0)</f>
        <v>35.988</v>
      </c>
      <c r="K39" s="49">
        <f t="shared" si="1"/>
        <v>45299874</v>
      </c>
      <c r="L39" s="50">
        <f t="shared" si="2"/>
        <v>44434403</v>
      </c>
      <c r="M39" s="50">
        <f t="shared" si="3"/>
        <v>43959097</v>
      </c>
      <c r="N39" s="24" t="s">
        <v>164</v>
      </c>
      <c r="O39" s="25">
        <v>46295</v>
      </c>
      <c r="P39" s="24" t="s">
        <v>66</v>
      </c>
      <c r="Q39" s="24"/>
      <c r="R39" s="2"/>
      <c r="S39" s="2"/>
      <c r="T39" s="2"/>
      <c r="U39" s="2"/>
      <c r="V39" s="2"/>
      <c r="W39" s="2"/>
      <c r="X39" s="2"/>
      <c r="Y39" s="2"/>
      <c r="Z39" s="2"/>
    </row>
    <row r="40" spans="1:26" ht="20" customHeight="1" x14ac:dyDescent="0.25">
      <c r="A40" s="3" t="s">
        <v>236</v>
      </c>
      <c r="B40" s="3" t="s">
        <v>237</v>
      </c>
      <c r="C40" s="3" t="s">
        <v>233</v>
      </c>
      <c r="D40" s="3">
        <v>12</v>
      </c>
      <c r="E40" s="23">
        <f>_xlfn.XLOOKUP($A40,[1]Value!$B:$B,[1]Value!$AE:$AE,"",0)/1000</f>
        <v>2.9070909999999999</v>
      </c>
      <c r="F40" s="23">
        <f>_xlfn.XLOOKUP($A40,[1]Value!$B:$B,[1]Value!$AF:$AF,"",0)/1000</f>
        <v>3.237922591549296</v>
      </c>
      <c r="G40" s="23">
        <f>_xlfn.XLOOKUP($A40,[1]Value!$B:$B,[1]Value!$AG:$AG,"",0)/1000</f>
        <v>3.7395160000000005</v>
      </c>
      <c r="H40" s="23">
        <f>_xlfn.XLOOKUP($A40,[1]Value!$B:$B,[1]Value!$AI:$AI,"",0)</f>
        <v>12.972530000000001</v>
      </c>
      <c r="I40" s="23">
        <f>_xlfn.XLOOKUP($A40,[1]Value!$B:$B,[1]Value!$AJ:$AJ,"",0)</f>
        <v>14.595022</v>
      </c>
      <c r="J40" s="23">
        <f>_xlfn.XLOOKUP($A40,[1]Value!$B:$B,[1]Value!$AK:$AK,"",0)</f>
        <v>17.041</v>
      </c>
      <c r="K40" s="49">
        <f t="shared" si="1"/>
        <v>224095917</v>
      </c>
      <c r="L40" s="50">
        <f t="shared" si="2"/>
        <v>221851162</v>
      </c>
      <c r="M40" s="50">
        <f t="shared" si="3"/>
        <v>219442286</v>
      </c>
      <c r="N40" s="24" t="s">
        <v>164</v>
      </c>
      <c r="O40" s="25">
        <v>46295</v>
      </c>
      <c r="P40" s="24" t="s">
        <v>66</v>
      </c>
      <c r="Q40" s="24"/>
      <c r="R40" s="2"/>
      <c r="S40" s="2"/>
      <c r="T40" s="2"/>
      <c r="U40" s="2"/>
      <c r="V40" s="2"/>
      <c r="W40" s="2"/>
      <c r="X40" s="2"/>
      <c r="Y40" s="2"/>
      <c r="Z40" s="2"/>
    </row>
    <row r="41" spans="1:26" ht="20" customHeight="1" x14ac:dyDescent="0.25">
      <c r="A41" s="3" t="s">
        <v>238</v>
      </c>
      <c r="B41" s="3" t="s">
        <v>239</v>
      </c>
      <c r="C41" s="3" t="s">
        <v>240</v>
      </c>
      <c r="D41" s="3">
        <v>12</v>
      </c>
      <c r="E41" s="23">
        <f>_xlfn.XLOOKUP($A41,[1]Value!$B:$B,[1]Value!$AE:$AE,"",0)/1000</f>
        <v>0.49658500000000005</v>
      </c>
      <c r="F41" s="23">
        <f>_xlfn.XLOOKUP($A41,[1]Value!$B:$B,[1]Value!$AF:$AF,"",0)/1000</f>
        <v>1.0706436500000001</v>
      </c>
      <c r="G41" s="23">
        <f>_xlfn.XLOOKUP($A41,[1]Value!$B:$B,[1]Value!$AG:$AG,"",0)/1000</f>
        <v>0.95912299999999995</v>
      </c>
      <c r="H41" s="23">
        <f>_xlfn.XLOOKUP($A41,[1]Value!$B:$B,[1]Value!$AI:$AI,"",0)</f>
        <v>1.3500859999999999</v>
      </c>
      <c r="I41" s="23">
        <f>_xlfn.XLOOKUP($A41,[1]Value!$B:$B,[1]Value!$AJ:$AJ,"",0)</f>
        <v>2.9719409999999997</v>
      </c>
      <c r="J41" s="23">
        <f>_xlfn.XLOOKUP($A41,[1]Value!$B:$B,[1]Value!$AK:$AK,"",0)</f>
        <v>2.5259999999999998</v>
      </c>
      <c r="K41" s="49">
        <f t="shared" si="1"/>
        <v>367817309</v>
      </c>
      <c r="L41" s="50">
        <f t="shared" si="2"/>
        <v>360250641</v>
      </c>
      <c r="M41" s="50">
        <f t="shared" si="3"/>
        <v>379700317</v>
      </c>
      <c r="N41" s="24" t="s">
        <v>164</v>
      </c>
      <c r="O41" s="25">
        <v>46295</v>
      </c>
      <c r="P41" s="24" t="s">
        <v>66</v>
      </c>
      <c r="Q41" s="24"/>
      <c r="R41" s="2"/>
      <c r="S41" s="2"/>
      <c r="T41" s="2"/>
      <c r="U41" s="2"/>
      <c r="V41" s="2"/>
      <c r="W41" s="2"/>
      <c r="X41" s="2"/>
      <c r="Y41" s="2"/>
      <c r="Z41" s="2"/>
    </row>
    <row r="42" spans="1:26" ht="20" customHeight="1" x14ac:dyDescent="0.25">
      <c r="A42" s="3" t="s">
        <v>241</v>
      </c>
      <c r="B42" s="3" t="s">
        <v>242</v>
      </c>
      <c r="C42" s="3" t="s">
        <v>240</v>
      </c>
      <c r="D42" s="3">
        <v>12</v>
      </c>
      <c r="E42" s="23">
        <f>_xlfn.XLOOKUP($A42,[1]Value!$B:$B,[1]Value!$AE:$AE,"",0)/1000</f>
        <v>1.3150700000000002</v>
      </c>
      <c r="F42" s="23">
        <f>_xlfn.XLOOKUP($A42,[1]Value!$B:$B,[1]Value!$AF:$AF,"",0)/1000</f>
        <v>1.6512880000000001</v>
      </c>
      <c r="G42" s="23">
        <f>_xlfn.XLOOKUP($A42,[1]Value!$B:$B,[1]Value!$AG:$AG,"",0)/1000</f>
        <v>1.793774</v>
      </c>
      <c r="H42" s="23">
        <f>_xlfn.XLOOKUP($A42,[1]Value!$B:$B,[1]Value!$AI:$AI,"",0)</f>
        <v>13.471508</v>
      </c>
      <c r="I42" s="23">
        <f>_xlfn.XLOOKUP($A42,[1]Value!$B:$B,[1]Value!$AJ:$AJ,"",0)</f>
        <v>16.744486000000002</v>
      </c>
      <c r="J42" s="23">
        <f>_xlfn.XLOOKUP($A42,[1]Value!$B:$B,[1]Value!$AK:$AK,"",0)</f>
        <v>17.956</v>
      </c>
      <c r="K42" s="49">
        <f t="shared" si="1"/>
        <v>97618618</v>
      </c>
      <c r="L42" s="50">
        <f t="shared" si="2"/>
        <v>98616822</v>
      </c>
      <c r="M42" s="50">
        <f t="shared" si="3"/>
        <v>99898307</v>
      </c>
      <c r="N42" s="24" t="s">
        <v>164</v>
      </c>
      <c r="O42" s="25">
        <v>46295</v>
      </c>
      <c r="P42" s="24" t="s">
        <v>66</v>
      </c>
      <c r="Q42" s="24"/>
      <c r="R42" s="2"/>
      <c r="S42" s="2"/>
      <c r="T42" s="2"/>
      <c r="U42" s="2"/>
      <c r="V42" s="2"/>
      <c r="W42" s="2"/>
      <c r="X42" s="2"/>
      <c r="Y42" s="2"/>
      <c r="Z42" s="2"/>
    </row>
    <row r="43" spans="1:26" ht="20" customHeight="1" x14ac:dyDescent="0.25">
      <c r="A43" s="3" t="s">
        <v>243</v>
      </c>
      <c r="B43" s="3" t="s">
        <v>244</v>
      </c>
      <c r="C43" s="3" t="s">
        <v>245</v>
      </c>
      <c r="D43" s="3">
        <v>12</v>
      </c>
      <c r="E43" s="23">
        <f>_xlfn.XLOOKUP($A43,[1]Value!$B:$B,[1]Value!$AE:$AE,"",0)/1000</f>
        <v>2.9094899999999999</v>
      </c>
      <c r="F43" s="23">
        <f>_xlfn.XLOOKUP($A43,[1]Value!$B:$B,[1]Value!$AF:$AF,"",0)/1000</f>
        <v>3.6121050000000001</v>
      </c>
      <c r="G43" s="23">
        <f>_xlfn.XLOOKUP($A43,[1]Value!$B:$B,[1]Value!$AG:$AG,"",0)/1000</f>
        <v>4.6892860000000001</v>
      </c>
      <c r="H43" s="23">
        <f>_xlfn.XLOOKUP($A43,[1]Value!$B:$B,[1]Value!$AI:$AI,"",0)</f>
        <v>9.2822639999999996</v>
      </c>
      <c r="I43" s="23">
        <f>_xlfn.XLOOKUP($A43,[1]Value!$B:$B,[1]Value!$AJ:$AJ,"",0)</f>
        <v>10.168365</v>
      </c>
      <c r="J43" s="23">
        <f>_xlfn.XLOOKUP($A43,[1]Value!$B:$B,[1]Value!$AK:$AK,"",0)</f>
        <v>12.475999999999999</v>
      </c>
      <c r="K43" s="49">
        <f t="shared" si="1"/>
        <v>313446159</v>
      </c>
      <c r="L43" s="50">
        <f t="shared" si="2"/>
        <v>355229676</v>
      </c>
      <c r="M43" s="50">
        <f t="shared" si="3"/>
        <v>375864540</v>
      </c>
      <c r="N43" s="24" t="s">
        <v>164</v>
      </c>
      <c r="O43" s="25">
        <v>46295</v>
      </c>
      <c r="P43" s="24" t="s">
        <v>66</v>
      </c>
      <c r="Q43" s="24"/>
      <c r="R43" s="2"/>
      <c r="S43" s="2"/>
      <c r="T43" s="2"/>
      <c r="U43" s="2"/>
      <c r="V43" s="2"/>
      <c r="W43" s="2"/>
      <c r="X43" s="2"/>
      <c r="Y43" s="2"/>
      <c r="Z43" s="2"/>
    </row>
    <row r="44" spans="1:26" ht="20" customHeight="1" x14ac:dyDescent="0.25">
      <c r="A44" s="3" t="s">
        <v>246</v>
      </c>
      <c r="B44" s="3" t="s">
        <v>247</v>
      </c>
      <c r="C44" s="3" t="s">
        <v>245</v>
      </c>
      <c r="D44" s="3">
        <v>12</v>
      </c>
      <c r="E44" s="23">
        <f>_xlfn.XLOOKUP($A44,[1]Value!$B:$B,[1]Value!$AE:$AE,"",0)/1000</f>
        <v>1.84562</v>
      </c>
      <c r="F44" s="23">
        <f>_xlfn.XLOOKUP($A44,[1]Value!$B:$B,[1]Value!$AF:$AF,"",0)/1000</f>
        <v>2.6090990000000001</v>
      </c>
      <c r="G44" s="23">
        <f>_xlfn.XLOOKUP($A44,[1]Value!$B:$B,[1]Value!$AG:$AG,"",0)/1000</f>
        <v>3.5463330000000002</v>
      </c>
      <c r="H44" s="23">
        <f>_xlfn.XLOOKUP($A44,[1]Value!$B:$B,[1]Value!$AI:$AI,"",0)</f>
        <v>4.8694829999999998</v>
      </c>
      <c r="I44" s="23">
        <f>_xlfn.XLOOKUP($A44,[1]Value!$B:$B,[1]Value!$AJ:$AJ,"",0)</f>
        <v>7.2403399999999998</v>
      </c>
      <c r="J44" s="23">
        <f>_xlfn.XLOOKUP($A44,[1]Value!$B:$B,[1]Value!$AK:$AK,"",0)</f>
        <v>10.517000000000001</v>
      </c>
      <c r="K44" s="49">
        <f t="shared" si="1"/>
        <v>379017649</v>
      </c>
      <c r="L44" s="50">
        <f t="shared" si="2"/>
        <v>360355867</v>
      </c>
      <c r="M44" s="50">
        <f t="shared" si="3"/>
        <v>337200057</v>
      </c>
      <c r="N44" s="24" t="s">
        <v>164</v>
      </c>
      <c r="O44" s="25">
        <v>46295</v>
      </c>
      <c r="P44" s="24" t="s">
        <v>66</v>
      </c>
      <c r="Q44" s="24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mergeCells count="2">
    <mergeCell ref="A1:O1"/>
    <mergeCell ref="A2:O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AD250"/>
  <sheetViews>
    <sheetView showGridLines="0" topLeftCell="H1" zoomScaleNormal="100" workbookViewId="0">
      <pane ySplit="4" topLeftCell="A5" activePane="bottomLeft" state="frozen"/>
      <selection pane="bottomLeft" activeCell="L5" sqref="L5"/>
    </sheetView>
  </sheetViews>
  <sheetFormatPr defaultColWidth="8.6328125" defaultRowHeight="12.5" x14ac:dyDescent="0.25"/>
  <cols>
    <col min="1" max="1" width="11" customWidth="1"/>
    <col min="2" max="2" width="24" customWidth="1"/>
    <col min="3" max="3" width="30" customWidth="1"/>
    <col min="4" max="4" width="9" customWidth="1"/>
    <col min="5" max="9" width="16" customWidth="1"/>
    <col min="10" max="24" width="14" customWidth="1"/>
    <col min="25" max="25" width="42" customWidth="1"/>
  </cols>
  <sheetData>
    <row r="1" spans="1:30" ht="28" customHeight="1" x14ac:dyDescent="0.25">
      <c r="A1" s="64" t="s">
        <v>248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22"/>
      <c r="T1" s="22"/>
      <c r="U1" s="22"/>
      <c r="V1" s="22"/>
      <c r="W1" s="22"/>
      <c r="X1" s="22"/>
      <c r="Y1" s="22"/>
      <c r="Z1" s="2"/>
      <c r="AA1" s="2"/>
      <c r="AB1" s="2"/>
      <c r="AC1" s="2"/>
      <c r="AD1" s="2"/>
    </row>
    <row r="2" spans="1:30" ht="22" customHeight="1" x14ac:dyDescent="0.25">
      <c r="A2" s="65" t="s">
        <v>249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22"/>
      <c r="T2" s="22"/>
      <c r="U2" s="22"/>
      <c r="V2" s="22"/>
      <c r="W2" s="22"/>
      <c r="X2" s="22"/>
      <c r="Y2" s="22"/>
      <c r="Z2" s="2"/>
      <c r="AA2" s="2"/>
      <c r="AB2" s="2"/>
      <c r="AC2" s="2"/>
      <c r="AD2" s="2"/>
    </row>
    <row r="3" spans="1:3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2"/>
      <c r="AA3" s="2"/>
      <c r="AB3" s="2"/>
      <c r="AC3" s="2"/>
      <c r="AD3" s="2"/>
    </row>
    <row r="4" spans="1:30" ht="20" customHeight="1" x14ac:dyDescent="0.25">
      <c r="A4" s="5" t="s">
        <v>146</v>
      </c>
      <c r="B4" s="5" t="s">
        <v>147</v>
      </c>
      <c r="C4" s="5" t="s">
        <v>148</v>
      </c>
      <c r="D4" s="5" t="s">
        <v>250</v>
      </c>
      <c r="E4" s="5" t="s">
        <v>251</v>
      </c>
      <c r="F4" s="5" t="s">
        <v>252</v>
      </c>
      <c r="G4" s="5" t="s">
        <v>253</v>
      </c>
      <c r="H4" s="5" t="s">
        <v>254</v>
      </c>
      <c r="I4" s="5" t="s">
        <v>255</v>
      </c>
      <c r="J4" s="5" t="s">
        <v>561</v>
      </c>
      <c r="K4" s="5" t="s">
        <v>562</v>
      </c>
      <c r="L4" s="5" t="s">
        <v>563</v>
      </c>
      <c r="M4" s="5" t="s">
        <v>564</v>
      </c>
      <c r="N4" s="5" t="s">
        <v>565</v>
      </c>
      <c r="O4" s="5" t="s">
        <v>566</v>
      </c>
      <c r="P4" s="5" t="s">
        <v>256</v>
      </c>
      <c r="Q4" s="5" t="s">
        <v>257</v>
      </c>
      <c r="R4" s="5" t="s">
        <v>258</v>
      </c>
      <c r="S4" s="5" t="s">
        <v>259</v>
      </c>
      <c r="T4" s="5" t="s">
        <v>260</v>
      </c>
      <c r="U4" s="5" t="s">
        <v>261</v>
      </c>
      <c r="V4" s="5" t="s">
        <v>573</v>
      </c>
      <c r="W4" s="5" t="s">
        <v>262</v>
      </c>
      <c r="X4" s="5" t="s">
        <v>263</v>
      </c>
      <c r="Y4" s="5" t="s">
        <v>264</v>
      </c>
      <c r="Z4" s="2"/>
      <c r="AA4" s="2"/>
      <c r="AB4" s="2"/>
      <c r="AC4" s="2"/>
      <c r="AD4" s="2"/>
    </row>
    <row r="5" spans="1:30" ht="20" customHeight="1" x14ac:dyDescent="0.25">
      <c r="A5" s="3" t="s">
        <v>162</v>
      </c>
      <c r="B5" s="3" t="s">
        <v>117</v>
      </c>
      <c r="C5" s="3" t="s">
        <v>163</v>
      </c>
      <c r="D5" s="3">
        <v>6</v>
      </c>
      <c r="E5" s="26">
        <f>IF(ISNUMBER('Consensus Input'!E5),'Consensus Input'!E5,IF(AND(ISNUMBER('Consensus Input'!H5),ISNUMBER('Consensus Input'!K5)),'Consensus Input'!H5*'Consensus Input'!K5,""))</f>
        <v>105.40338</v>
      </c>
      <c r="F5" s="26">
        <f>IF(ISNUMBER('Consensus Input'!F5),'Consensus Input'!F5,IF(AND(ISNUMBER('Consensus Input'!I5),ISNUMBER('Consensus Input'!L5)),'Consensus Input'!I5*'Consensus Input'!L5,""))</f>
        <v>130.53966500000001</v>
      </c>
      <c r="G5" s="26">
        <v>153.283423</v>
      </c>
      <c r="H5" s="27">
        <f t="shared" ref="H5:H44" si="0">IF(AND(ISNUMBER(E5),ISNUMBER(F5)),F5-E5,"")</f>
        <v>25.136285000000015</v>
      </c>
      <c r="I5" s="27">
        <f t="shared" ref="I5:I44" si="1">IF(AND(ISNUMBER(F5),ISNUMBER(G5)),G5-F5,"")</f>
        <v>22.743757999999985</v>
      </c>
      <c r="J5" s="28">
        <v>0.25</v>
      </c>
      <c r="K5" s="28">
        <v>0.4</v>
      </c>
      <c r="L5" s="28">
        <v>0.55000000000000004</v>
      </c>
      <c r="M5" s="28">
        <v>0.3</v>
      </c>
      <c r="N5" s="28">
        <v>0.45</v>
      </c>
      <c r="O5" s="28">
        <v>0.60000000000000009</v>
      </c>
      <c r="P5" s="6">
        <f t="shared" ref="P5:P44" si="2">IF(ISNUMBER(H5),H5*J5,"")</f>
        <v>6.2840712500000038</v>
      </c>
      <c r="Q5" s="6">
        <f t="shared" ref="Q5:Q44" si="3">IF(ISNUMBER(H5),H5*K5,"")</f>
        <v>10.054514000000006</v>
      </c>
      <c r="R5" s="6">
        <f t="shared" ref="R5:R44" si="4">IF(ISNUMBER(H5),H5*L5,"")</f>
        <v>13.824956750000009</v>
      </c>
      <c r="S5" s="6">
        <f>IF(ISNUMBER($I5),$I5*M5,"")</f>
        <v>6.8231273999999953</v>
      </c>
      <c r="T5" s="6">
        <f>IF(ISNUMBER($I5),$I5*N5,"")</f>
        <v>10.234691099999994</v>
      </c>
      <c r="U5" s="6">
        <f>IF(ISNUMBER($I5),$I5*O5,"")</f>
        <v>13.646254799999994</v>
      </c>
      <c r="V5" s="6">
        <f>G5*N5</f>
        <v>68.977540349999998</v>
      </c>
      <c r="W5" s="3" t="str">
        <f t="shared" ref="W5:W44" si="5">IF(AND(ISNUMBER(E5),ISNUMBER(F5)),"Complete","Missing")</f>
        <v>Complete</v>
      </c>
      <c r="X5" s="3" t="str">
        <f t="shared" ref="X5:X44" si="6">IF(AND(ISNUMBER(F5),ISNUMBER(G5)),"Complete","Missing")</f>
        <v>Complete</v>
      </c>
      <c r="Y5" s="3" t="s">
        <v>265</v>
      </c>
      <c r="Z5" s="2"/>
      <c r="AA5" s="2"/>
      <c r="AB5" s="2"/>
      <c r="AC5" s="2"/>
      <c r="AD5" s="2"/>
    </row>
    <row r="6" spans="1:30" ht="20" customHeight="1" x14ac:dyDescent="0.25">
      <c r="A6" s="3" t="s">
        <v>165</v>
      </c>
      <c r="B6" s="3" t="s">
        <v>166</v>
      </c>
      <c r="C6" s="3" t="s">
        <v>163</v>
      </c>
      <c r="D6" s="3">
        <v>12</v>
      </c>
      <c r="E6" s="26">
        <f>IF(ISNUMBER('Consensus Input'!E6),'Consensus Input'!E6,IF(AND(ISNUMBER('Consensus Input'!H6),ISNUMBER('Consensus Input'!K6)),'Consensus Input'!H6*'Consensus Input'!K6,""))</f>
        <v>72.208889999999997</v>
      </c>
      <c r="F6" s="26">
        <f>IF(ISNUMBER('Consensus Input'!F6),'Consensus Input'!F6,IF(AND(ISNUMBER('Consensus Input'!I6),ISNUMBER('Consensus Input'!L6)),'Consensus Input'!I6*'Consensus Input'!L6,""))</f>
        <v>86.875779000000009</v>
      </c>
      <c r="G6" s="26">
        <v>129.525846</v>
      </c>
      <c r="H6" s="27">
        <f t="shared" si="0"/>
        <v>14.666889000000012</v>
      </c>
      <c r="I6" s="27">
        <f t="shared" si="1"/>
        <v>42.650066999999993</v>
      </c>
      <c r="J6" s="28">
        <v>0.2</v>
      </c>
      <c r="K6" s="28">
        <v>0.35</v>
      </c>
      <c r="L6" s="28">
        <v>0.5</v>
      </c>
      <c r="M6" s="28">
        <v>0.25</v>
      </c>
      <c r="N6" s="28">
        <v>0.39999999999999997</v>
      </c>
      <c r="O6" s="28">
        <v>0.55000000000000004</v>
      </c>
      <c r="P6" s="6">
        <f t="shared" si="2"/>
        <v>2.9333778000000024</v>
      </c>
      <c r="Q6" s="6">
        <f t="shared" si="3"/>
        <v>5.1334111500000041</v>
      </c>
      <c r="R6" s="6">
        <f t="shared" si="4"/>
        <v>7.3334445000000059</v>
      </c>
      <c r="S6" s="6">
        <f t="shared" ref="S6:S44" si="7">IF(ISNUMBER($I6),$I6*M6,"")</f>
        <v>10.662516749999998</v>
      </c>
      <c r="T6" s="6">
        <f t="shared" ref="T6:T44" si="8">IF(ISNUMBER($I6),$I6*N6,"")</f>
        <v>17.060026799999996</v>
      </c>
      <c r="U6" s="6">
        <f t="shared" ref="U6:U44" si="9">IF(ISNUMBER($I6),$I6*O6,"")</f>
        <v>23.457536849999997</v>
      </c>
      <c r="V6" s="6">
        <f t="shared" ref="V6:V44" si="10">G6*N6</f>
        <v>51.810338399999999</v>
      </c>
      <c r="W6" s="3" t="str">
        <f t="shared" si="5"/>
        <v>Complete</v>
      </c>
      <c r="X6" s="3" t="str">
        <f t="shared" si="6"/>
        <v>Complete</v>
      </c>
      <c r="Y6" s="3" t="s">
        <v>266</v>
      </c>
      <c r="Z6" s="2"/>
      <c r="AA6" s="2"/>
      <c r="AB6" s="2"/>
      <c r="AC6" s="2"/>
      <c r="AD6" s="2"/>
    </row>
    <row r="7" spans="1:30" ht="20" customHeight="1" x14ac:dyDescent="0.25">
      <c r="A7" s="3" t="s">
        <v>167</v>
      </c>
      <c r="B7" s="3" t="s">
        <v>168</v>
      </c>
      <c r="C7" s="3" t="s">
        <v>163</v>
      </c>
      <c r="D7" s="3">
        <v>12</v>
      </c>
      <c r="E7" s="26">
        <f>IF(ISNUMBER('Consensus Input'!E7),'Consensus Input'!E7,IF(AND(ISNUMBER('Consensus Input'!H7),ISNUMBER('Consensus Input'!K7)),'Consensus Input'!H7*'Consensus Input'!K7,""))</f>
        <v>106.7604</v>
      </c>
      <c r="F7" s="26">
        <f>IF(ISNUMBER('Consensus Input'!F7),'Consensus Input'!F7,IF(AND(ISNUMBER('Consensus Input'!I7),ISNUMBER('Consensus Input'!L7)),'Consensus Input'!I7*'Consensus Input'!L7,""))</f>
        <v>137.94641700000003</v>
      </c>
      <c r="G7" s="26">
        <v>179.24001100000001</v>
      </c>
      <c r="H7" s="27">
        <f t="shared" si="0"/>
        <v>31.186017000000021</v>
      </c>
      <c r="I7" s="27">
        <f t="shared" si="1"/>
        <v>41.293593999999985</v>
      </c>
      <c r="J7" s="28">
        <v>0.3</v>
      </c>
      <c r="K7" s="28">
        <v>0.45</v>
      </c>
      <c r="L7" s="28">
        <v>0.6</v>
      </c>
      <c r="M7" s="28">
        <v>0.35</v>
      </c>
      <c r="N7" s="28">
        <v>0.5</v>
      </c>
      <c r="O7" s="28">
        <v>0.65</v>
      </c>
      <c r="P7" s="6">
        <f t="shared" si="2"/>
        <v>9.3558051000000066</v>
      </c>
      <c r="Q7" s="6">
        <f t="shared" si="3"/>
        <v>14.033707650000009</v>
      </c>
      <c r="R7" s="6">
        <f t="shared" si="4"/>
        <v>18.711610200000013</v>
      </c>
      <c r="S7" s="6">
        <f t="shared" si="7"/>
        <v>14.452757899999993</v>
      </c>
      <c r="T7" s="6">
        <f t="shared" si="8"/>
        <v>20.646796999999992</v>
      </c>
      <c r="U7" s="6">
        <f t="shared" si="9"/>
        <v>26.84083609999999</v>
      </c>
      <c r="V7" s="6">
        <f t="shared" si="10"/>
        <v>89.620005500000005</v>
      </c>
      <c r="W7" s="3" t="str">
        <f t="shared" si="5"/>
        <v>Complete</v>
      </c>
      <c r="X7" s="3" t="str">
        <f t="shared" si="6"/>
        <v>Complete</v>
      </c>
      <c r="Y7" s="3" t="s">
        <v>267</v>
      </c>
      <c r="Z7" s="2"/>
      <c r="AA7" s="2"/>
      <c r="AB7" s="2"/>
      <c r="AC7" s="2"/>
      <c r="AD7" s="2"/>
    </row>
    <row r="8" spans="1:30" ht="20" customHeight="1" x14ac:dyDescent="0.25">
      <c r="A8" s="3" t="s">
        <v>169</v>
      </c>
      <c r="B8" s="3" t="s">
        <v>170</v>
      </c>
      <c r="C8" s="3" t="s">
        <v>163</v>
      </c>
      <c r="D8" s="3">
        <v>12</v>
      </c>
      <c r="E8" s="26">
        <f>IF(ISNUMBER('Consensus Input'!E8),'Consensus Input'!E8,IF(AND(ISNUMBER('Consensus Input'!H8),ISNUMBER('Consensus Input'!K8)),'Consensus Input'!H8*'Consensus Input'!K8,""))</f>
        <v>73.803879999999992</v>
      </c>
      <c r="F8" s="26">
        <f>IF(ISNUMBER('Consensus Input'!F8),'Consensus Input'!F8,IF(AND(ISNUMBER('Consensus Input'!I8),ISNUMBER('Consensus Input'!L8)),'Consensus Input'!I8*'Consensus Input'!L8,""))</f>
        <v>88.474229000000008</v>
      </c>
      <c r="G8" s="26">
        <v>92.335595999999995</v>
      </c>
      <c r="H8" s="27">
        <f t="shared" si="0"/>
        <v>14.670349000000016</v>
      </c>
      <c r="I8" s="27">
        <f t="shared" si="1"/>
        <v>3.8613669999999871</v>
      </c>
      <c r="J8" s="28">
        <v>0.25</v>
      </c>
      <c r="K8" s="28">
        <v>0.4</v>
      </c>
      <c r="L8" s="28">
        <v>0.6</v>
      </c>
      <c r="M8" s="28">
        <v>0.3</v>
      </c>
      <c r="N8" s="28">
        <v>0.5</v>
      </c>
      <c r="O8" s="28">
        <v>0.7</v>
      </c>
      <c r="P8" s="6">
        <f t="shared" si="2"/>
        <v>3.667587250000004</v>
      </c>
      <c r="Q8" s="6">
        <f t="shared" si="3"/>
        <v>5.8681396000000063</v>
      </c>
      <c r="R8" s="6">
        <f t="shared" si="4"/>
        <v>8.8022094000000095</v>
      </c>
      <c r="S8" s="6">
        <f t="shared" si="7"/>
        <v>1.158410099999996</v>
      </c>
      <c r="T8" s="6">
        <f t="shared" si="8"/>
        <v>1.9306834999999936</v>
      </c>
      <c r="U8" s="6">
        <f t="shared" si="9"/>
        <v>2.7029568999999909</v>
      </c>
      <c r="V8" s="6">
        <f t="shared" si="10"/>
        <v>46.167797999999998</v>
      </c>
      <c r="W8" s="3" t="str">
        <f t="shared" si="5"/>
        <v>Complete</v>
      </c>
      <c r="X8" s="3" t="str">
        <f t="shared" si="6"/>
        <v>Complete</v>
      </c>
      <c r="Y8" s="3" t="s">
        <v>268</v>
      </c>
      <c r="Z8" s="2"/>
      <c r="AA8" s="2"/>
      <c r="AB8" s="2"/>
      <c r="AC8" s="2"/>
      <c r="AD8" s="2"/>
    </row>
    <row r="9" spans="1:30" ht="20" customHeight="1" x14ac:dyDescent="0.25">
      <c r="A9" s="3" t="s">
        <v>171</v>
      </c>
      <c r="B9" s="3" t="s">
        <v>123</v>
      </c>
      <c r="C9" s="3" t="s">
        <v>163</v>
      </c>
      <c r="D9" s="3">
        <v>5</v>
      </c>
      <c r="E9" s="26">
        <f>IF(ISNUMBER('Consensus Input'!E9),'Consensus Input'!E9,IF(AND(ISNUMBER('Consensus Input'!H9),ISNUMBER('Consensus Input'!K9)),'Consensus Input'!H9*'Consensus Input'!K9,""))</f>
        <v>16.158036228739821</v>
      </c>
      <c r="F9" s="26">
        <f>IF(ISNUMBER('Consensus Input'!F9),'Consensus Input'!F9,IF(AND(ISNUMBER('Consensus Input'!I9),ISNUMBER('Consensus Input'!L9)),'Consensus Input'!I9*'Consensus Input'!L9,""))</f>
        <v>19.101303264119842</v>
      </c>
      <c r="G9" s="26">
        <v>28.114857000000001</v>
      </c>
      <c r="H9" s="27">
        <f t="shared" si="0"/>
        <v>2.9432670353800212</v>
      </c>
      <c r="I9" s="27">
        <f t="shared" si="1"/>
        <v>9.0135537358801585</v>
      </c>
      <c r="J9" s="28">
        <v>0.35</v>
      </c>
      <c r="K9" s="28">
        <v>0.55000000000000004</v>
      </c>
      <c r="L9" s="28">
        <v>0.7</v>
      </c>
      <c r="M9" s="28">
        <v>0.44999999999999996</v>
      </c>
      <c r="N9" s="28">
        <v>0.65</v>
      </c>
      <c r="O9" s="28">
        <v>0.79999999999999993</v>
      </c>
      <c r="P9" s="6">
        <f t="shared" si="2"/>
        <v>1.0301434623830075</v>
      </c>
      <c r="Q9" s="6">
        <f t="shared" si="3"/>
        <v>1.6187968694590118</v>
      </c>
      <c r="R9" s="6">
        <f t="shared" si="4"/>
        <v>2.0602869247660149</v>
      </c>
      <c r="S9" s="6">
        <f t="shared" si="7"/>
        <v>4.0560991811460712</v>
      </c>
      <c r="T9" s="6">
        <f t="shared" si="8"/>
        <v>5.8588099283221036</v>
      </c>
      <c r="U9" s="6">
        <f t="shared" si="9"/>
        <v>7.2108429887041261</v>
      </c>
      <c r="V9" s="6">
        <f t="shared" si="10"/>
        <v>18.274657050000002</v>
      </c>
      <c r="W9" s="3" t="str">
        <f t="shared" si="5"/>
        <v>Complete</v>
      </c>
      <c r="X9" s="3" t="str">
        <f t="shared" si="6"/>
        <v>Complete</v>
      </c>
      <c r="Y9" s="3" t="s">
        <v>269</v>
      </c>
      <c r="Z9" s="2"/>
      <c r="AA9" s="2"/>
      <c r="AB9" s="2"/>
      <c r="AC9" s="2"/>
      <c r="AD9" s="2"/>
    </row>
    <row r="10" spans="1:30" ht="20" customHeight="1" x14ac:dyDescent="0.25">
      <c r="A10" s="3" t="s">
        <v>172</v>
      </c>
      <c r="B10" s="3" t="s">
        <v>128</v>
      </c>
      <c r="C10" s="3" t="s">
        <v>173</v>
      </c>
      <c r="D10" s="3">
        <v>1</v>
      </c>
      <c r="E10" s="26">
        <f>IF(ISNUMBER('Consensus Input'!E10),'Consensus Input'!E10,IF(AND(ISNUMBER('Consensus Input'!H10),ISNUMBER('Consensus Input'!K10)),'Consensus Input'!H10*'Consensus Input'!K10,""))</f>
        <v>97.239846310683788</v>
      </c>
      <c r="F10" s="26">
        <f>IF(ISNUMBER('Consensus Input'!F10),'Consensus Input'!F10,IF(AND(ISNUMBER('Consensus Input'!I10),ISNUMBER('Consensus Input'!L10)),'Consensus Input'!I10*'Consensus Input'!L10,""))</f>
        <v>197.50448371402447</v>
      </c>
      <c r="G10" s="26">
        <v>335.42451799999998</v>
      </c>
      <c r="H10" s="27">
        <f t="shared" si="0"/>
        <v>100.26463740334069</v>
      </c>
      <c r="I10" s="27">
        <f t="shared" si="1"/>
        <v>137.9200342859755</v>
      </c>
      <c r="J10" s="28">
        <v>0.9</v>
      </c>
      <c r="K10" s="28">
        <v>0.95</v>
      </c>
      <c r="L10" s="28">
        <v>1</v>
      </c>
      <c r="M10" s="28">
        <v>0.94</v>
      </c>
      <c r="N10" s="28">
        <v>0.98</v>
      </c>
      <c r="O10" s="28">
        <v>1</v>
      </c>
      <c r="P10" s="6">
        <f t="shared" si="2"/>
        <v>90.23817366300662</v>
      </c>
      <c r="Q10" s="6">
        <f t="shared" si="3"/>
        <v>95.251405533173653</v>
      </c>
      <c r="R10" s="6">
        <f t="shared" si="4"/>
        <v>100.26463740334069</v>
      </c>
      <c r="S10" s="6">
        <f t="shared" si="7"/>
        <v>129.64483222881697</v>
      </c>
      <c r="T10" s="6">
        <f t="shared" si="8"/>
        <v>135.16163360025598</v>
      </c>
      <c r="U10" s="6">
        <f t="shared" si="9"/>
        <v>137.9200342859755</v>
      </c>
      <c r="V10" s="6">
        <f t="shared" si="10"/>
        <v>328.71602763999999</v>
      </c>
      <c r="W10" s="3" t="str">
        <f t="shared" si="5"/>
        <v>Complete</v>
      </c>
      <c r="X10" s="3" t="str">
        <f t="shared" si="6"/>
        <v>Complete</v>
      </c>
      <c r="Y10" s="3" t="s">
        <v>270</v>
      </c>
      <c r="Z10" s="2"/>
      <c r="AA10" s="2"/>
      <c r="AB10" s="2"/>
      <c r="AC10" s="2"/>
      <c r="AD10" s="2"/>
    </row>
    <row r="11" spans="1:30" ht="20" customHeight="1" x14ac:dyDescent="0.25">
      <c r="A11" s="3" t="s">
        <v>174</v>
      </c>
      <c r="B11" s="3" t="s">
        <v>175</v>
      </c>
      <c r="C11" s="3" t="s">
        <v>173</v>
      </c>
      <c r="D11" s="3">
        <v>12</v>
      </c>
      <c r="E11" s="26">
        <f>IF(ISNUMBER('Consensus Input'!E11),'Consensus Input'!E11,IF(AND(ISNUMBER('Consensus Input'!H11),ISNUMBER('Consensus Input'!K11)),'Consensus Input'!H11*'Consensus Input'!K11,""))</f>
        <v>3.417687037193855</v>
      </c>
      <c r="F11" s="26">
        <f>IF(ISNUMBER('Consensus Input'!F11),'Consensus Input'!F11,IF(AND(ISNUMBER('Consensus Input'!I11),ISNUMBER('Consensus Input'!L11)),'Consensus Input'!I11*'Consensus Input'!L11,""))</f>
        <v>7.9889915160872293</v>
      </c>
      <c r="G11" s="26">
        <v>22.45176</v>
      </c>
      <c r="H11" s="27">
        <f t="shared" si="0"/>
        <v>4.5713044788933743</v>
      </c>
      <c r="I11" s="27">
        <f t="shared" si="1"/>
        <v>14.462768483912772</v>
      </c>
      <c r="J11" s="28">
        <v>0.5</v>
      </c>
      <c r="K11" s="28">
        <v>0.7</v>
      </c>
      <c r="L11" s="28">
        <v>0.85</v>
      </c>
      <c r="M11" s="28">
        <v>0.6</v>
      </c>
      <c r="N11" s="28">
        <v>0.8</v>
      </c>
      <c r="O11" s="28">
        <v>0.9</v>
      </c>
      <c r="P11" s="6">
        <f t="shared" si="2"/>
        <v>2.2856522394466872</v>
      </c>
      <c r="Q11" s="6">
        <f t="shared" si="3"/>
        <v>3.199913135225362</v>
      </c>
      <c r="R11" s="6">
        <f t="shared" si="4"/>
        <v>3.8856088070593682</v>
      </c>
      <c r="S11" s="6">
        <f t="shared" si="7"/>
        <v>8.6776610903476623</v>
      </c>
      <c r="T11" s="6">
        <f t="shared" si="8"/>
        <v>11.570214787130219</v>
      </c>
      <c r="U11" s="6">
        <f t="shared" si="9"/>
        <v>13.016491635521495</v>
      </c>
      <c r="V11" s="6">
        <f t="shared" si="10"/>
        <v>17.961408000000002</v>
      </c>
      <c r="W11" s="3" t="str">
        <f t="shared" si="5"/>
        <v>Complete</v>
      </c>
      <c r="X11" s="3" t="str">
        <f t="shared" si="6"/>
        <v>Complete</v>
      </c>
      <c r="Y11" s="3" t="s">
        <v>271</v>
      </c>
      <c r="Z11" s="2"/>
      <c r="AA11" s="2"/>
      <c r="AB11" s="2"/>
      <c r="AC11" s="2"/>
      <c r="AD11" s="2"/>
    </row>
    <row r="12" spans="1:30" ht="20" customHeight="1" x14ac:dyDescent="0.25">
      <c r="A12" s="3" t="s">
        <v>176</v>
      </c>
      <c r="B12" s="3" t="s">
        <v>132</v>
      </c>
      <c r="C12" s="3" t="s">
        <v>173</v>
      </c>
      <c r="D12" s="3">
        <v>10</v>
      </c>
      <c r="E12" s="26">
        <f>IF(ISNUMBER('Consensus Input'!E12),'Consensus Input'!E12,IF(AND(ISNUMBER('Consensus Input'!H12),ISNUMBER('Consensus Input'!K12)),'Consensus Input'!H12*'Consensus Input'!K12,""))</f>
        <v>25.954481421400363</v>
      </c>
      <c r="F12" s="26">
        <f>IF(ISNUMBER('Consensus Input'!F12),'Consensus Input'!F12,IF(AND(ISNUMBER('Consensus Input'!I12),ISNUMBER('Consensus Input'!L12)),'Consensus Input'!I12*'Consensus Input'!L12,""))</f>
        <v>49.062536672888889</v>
      </c>
      <c r="G12" s="26">
        <v>94.280343000000002</v>
      </c>
      <c r="H12" s="27">
        <f t="shared" si="0"/>
        <v>23.108055251488526</v>
      </c>
      <c r="I12" s="27">
        <f t="shared" si="1"/>
        <v>45.217806327111113</v>
      </c>
      <c r="J12" s="28">
        <v>0.7</v>
      </c>
      <c r="K12" s="28">
        <v>0.85</v>
      </c>
      <c r="L12" s="28">
        <v>0.95</v>
      </c>
      <c r="M12" s="28">
        <v>0.8</v>
      </c>
      <c r="N12" s="28">
        <v>0.9</v>
      </c>
      <c r="O12" s="28">
        <v>0.97</v>
      </c>
      <c r="P12" s="6">
        <f t="shared" si="2"/>
        <v>16.175638676041967</v>
      </c>
      <c r="Q12" s="6">
        <f t="shared" si="3"/>
        <v>19.641846963765246</v>
      </c>
      <c r="R12" s="6">
        <f t="shared" si="4"/>
        <v>21.952652488914097</v>
      </c>
      <c r="S12" s="6">
        <f t="shared" si="7"/>
        <v>36.174245061688893</v>
      </c>
      <c r="T12" s="6">
        <f t="shared" si="8"/>
        <v>40.696025694399999</v>
      </c>
      <c r="U12" s="6">
        <f t="shared" si="9"/>
        <v>43.861272137297782</v>
      </c>
      <c r="V12" s="6">
        <f t="shared" si="10"/>
        <v>84.852308700000009</v>
      </c>
      <c r="W12" s="3" t="str">
        <f t="shared" si="5"/>
        <v>Complete</v>
      </c>
      <c r="X12" s="3" t="str">
        <f t="shared" si="6"/>
        <v>Complete</v>
      </c>
      <c r="Y12" s="3" t="s">
        <v>272</v>
      </c>
      <c r="Z12" s="2"/>
      <c r="AA12" s="2"/>
      <c r="AB12" s="2"/>
      <c r="AC12" s="2"/>
      <c r="AD12" s="2"/>
    </row>
    <row r="13" spans="1:30" ht="20" customHeight="1" x14ac:dyDescent="0.25">
      <c r="A13" s="3" t="s">
        <v>177</v>
      </c>
      <c r="B13" s="3" t="s">
        <v>178</v>
      </c>
      <c r="C13" s="3" t="s">
        <v>173</v>
      </c>
      <c r="D13" s="3">
        <v>8</v>
      </c>
      <c r="E13" s="26">
        <f>IF(ISNUMBER('Consensus Input'!E13),'Consensus Input'!E13,IF(AND(ISNUMBER('Consensus Input'!H13),ISNUMBER('Consensus Input'!K13)),'Consensus Input'!H13*'Consensus Input'!K13,""))</f>
        <v>8.6997499999999999</v>
      </c>
      <c r="F13" s="26">
        <f>IF(ISNUMBER('Consensus Input'!F13),'Consensus Input'!F13,IF(AND(ISNUMBER('Consensus Input'!I13),ISNUMBER('Consensus Input'!L13)),'Consensus Input'!I13*'Consensus Input'!L13,""))</f>
        <v>84.131625999999983</v>
      </c>
      <c r="G13" s="26">
        <v>183.90767700000001</v>
      </c>
      <c r="H13" s="27">
        <f t="shared" si="0"/>
        <v>75.431875999999988</v>
      </c>
      <c r="I13" s="27">
        <f t="shared" si="1"/>
        <v>99.776051000000024</v>
      </c>
      <c r="J13" s="28">
        <v>0.65</v>
      </c>
      <c r="K13" s="28">
        <v>0.8</v>
      </c>
      <c r="L13" s="28">
        <v>0.9</v>
      </c>
      <c r="M13" s="28">
        <v>0.75</v>
      </c>
      <c r="N13" s="28">
        <v>0.9</v>
      </c>
      <c r="O13" s="28">
        <v>0.95</v>
      </c>
      <c r="P13" s="6">
        <f t="shared" si="2"/>
        <v>49.030719399999995</v>
      </c>
      <c r="Q13" s="6">
        <f t="shared" si="3"/>
        <v>60.345500799999996</v>
      </c>
      <c r="R13" s="6">
        <f t="shared" si="4"/>
        <v>67.888688399999992</v>
      </c>
      <c r="S13" s="6">
        <f t="shared" si="7"/>
        <v>74.832038250000011</v>
      </c>
      <c r="T13" s="6">
        <f t="shared" si="8"/>
        <v>89.798445900000019</v>
      </c>
      <c r="U13" s="6">
        <f t="shared" si="9"/>
        <v>94.787248450000021</v>
      </c>
      <c r="V13" s="6">
        <f t="shared" si="10"/>
        <v>165.51690930000001</v>
      </c>
      <c r="W13" s="3" t="str">
        <f t="shared" si="5"/>
        <v>Complete</v>
      </c>
      <c r="X13" s="3" t="str">
        <f t="shared" si="6"/>
        <v>Complete</v>
      </c>
      <c r="Y13" s="3" t="s">
        <v>273</v>
      </c>
      <c r="Z13" s="2"/>
      <c r="AA13" s="2"/>
      <c r="AB13" s="2"/>
      <c r="AC13" s="2"/>
      <c r="AD13" s="2"/>
    </row>
    <row r="14" spans="1:30" ht="20" customHeight="1" x14ac:dyDescent="0.25">
      <c r="A14" s="3" t="s">
        <v>179</v>
      </c>
      <c r="B14" s="3" t="s">
        <v>180</v>
      </c>
      <c r="C14" s="3" t="s">
        <v>173</v>
      </c>
      <c r="D14" s="3">
        <v>12</v>
      </c>
      <c r="E14" s="26">
        <f>IF(ISNUMBER('Consensus Input'!E14),'Consensus Input'!E14,IF(AND(ISNUMBER('Consensus Input'!H14),ISNUMBER('Consensus Input'!K14)),'Consensus Input'!H14*'Consensus Input'!K14,""))</f>
        <v>-2.9662668308324172</v>
      </c>
      <c r="F14" s="26">
        <f>IF(ISNUMBER('Consensus Input'!F14),'Consensus Input'!F14,IF(AND(ISNUMBER('Consensus Input'!I14),ISNUMBER('Consensus Input'!L14)),'Consensus Input'!I14*'Consensus Input'!L14,""))</f>
        <v>5.7409385449646306</v>
      </c>
      <c r="G14" s="26">
        <v>9.9310480000000005</v>
      </c>
      <c r="H14" s="27">
        <f t="shared" si="0"/>
        <v>8.7072053757970487</v>
      </c>
      <c r="I14" s="27">
        <f t="shared" si="1"/>
        <v>4.1901094550353699</v>
      </c>
      <c r="J14" s="28">
        <v>0.1</v>
      </c>
      <c r="K14" s="28">
        <v>0.25</v>
      </c>
      <c r="L14" s="28">
        <v>0.4</v>
      </c>
      <c r="M14" s="28">
        <v>0.30000000000000004</v>
      </c>
      <c r="N14" s="28">
        <v>0.45</v>
      </c>
      <c r="O14" s="28">
        <v>0.60000000000000009</v>
      </c>
      <c r="P14" s="6">
        <f t="shared" si="2"/>
        <v>0.87072053757970491</v>
      </c>
      <c r="Q14" s="6">
        <f t="shared" si="3"/>
        <v>2.1768013439492622</v>
      </c>
      <c r="R14" s="6">
        <f t="shared" si="4"/>
        <v>3.4828821503188196</v>
      </c>
      <c r="S14" s="6">
        <f t="shared" si="7"/>
        <v>1.2570328365106112</v>
      </c>
      <c r="T14" s="6">
        <f t="shared" si="8"/>
        <v>1.8855492547659165</v>
      </c>
      <c r="U14" s="6">
        <f t="shared" si="9"/>
        <v>2.5140656730212223</v>
      </c>
      <c r="V14" s="6">
        <f t="shared" si="10"/>
        <v>4.4689716000000006</v>
      </c>
      <c r="W14" s="3" t="str">
        <f t="shared" si="5"/>
        <v>Complete</v>
      </c>
      <c r="X14" s="3" t="str">
        <f t="shared" si="6"/>
        <v>Complete</v>
      </c>
      <c r="Y14" s="3" t="s">
        <v>274</v>
      </c>
      <c r="Z14" s="2"/>
      <c r="AA14" s="2"/>
      <c r="AB14" s="2"/>
      <c r="AC14" s="2"/>
      <c r="AD14" s="2"/>
    </row>
    <row r="15" spans="1:30" ht="20" customHeight="1" x14ac:dyDescent="0.25">
      <c r="A15" s="3" t="s">
        <v>181</v>
      </c>
      <c r="B15" s="3" t="s">
        <v>182</v>
      </c>
      <c r="C15" s="3" t="s">
        <v>183</v>
      </c>
      <c r="D15" s="3">
        <v>10</v>
      </c>
      <c r="E15" s="26">
        <f>IF(ISNUMBER('Consensus Input'!E15),'Consensus Input'!E15,IF(AND(ISNUMBER('Consensus Input'!H15),ISNUMBER('Consensus Input'!K15)),'Consensus Input'!H15*'Consensus Input'!K15,""))</f>
        <v>7.5456329981675596</v>
      </c>
      <c r="F15" s="26">
        <f>IF(ISNUMBER('Consensus Input'!F15),'Consensus Input'!F15,IF(AND(ISNUMBER('Consensus Input'!I15),ISNUMBER('Consensus Input'!L15)),'Consensus Input'!I15*'Consensus Input'!L15,""))</f>
        <v>10.222297227191412</v>
      </c>
      <c r="G15" s="26">
        <v>15.000132000000001</v>
      </c>
      <c r="H15" s="27">
        <f t="shared" si="0"/>
        <v>2.676664229023852</v>
      </c>
      <c r="I15" s="27">
        <f t="shared" si="1"/>
        <v>4.777834772808589</v>
      </c>
      <c r="J15" s="28">
        <v>0.15</v>
      </c>
      <c r="K15" s="28">
        <v>0.25</v>
      </c>
      <c r="L15" s="28">
        <v>0.35</v>
      </c>
      <c r="M15" s="28">
        <v>0.2</v>
      </c>
      <c r="N15" s="28">
        <v>0.3</v>
      </c>
      <c r="O15" s="28">
        <v>0.4</v>
      </c>
      <c r="P15" s="6">
        <f t="shared" si="2"/>
        <v>0.40149963435357777</v>
      </c>
      <c r="Q15" s="6">
        <f t="shared" si="3"/>
        <v>0.66916605725596301</v>
      </c>
      <c r="R15" s="6">
        <f t="shared" si="4"/>
        <v>0.93683248015834819</v>
      </c>
      <c r="S15" s="6">
        <f t="shared" si="7"/>
        <v>0.95556695456171781</v>
      </c>
      <c r="T15" s="6">
        <f t="shared" si="8"/>
        <v>1.4333504318425767</v>
      </c>
      <c r="U15" s="6">
        <f t="shared" si="9"/>
        <v>1.9111339091234356</v>
      </c>
      <c r="V15" s="6">
        <f t="shared" si="10"/>
        <v>4.5000396</v>
      </c>
      <c r="W15" s="3" t="str">
        <f t="shared" si="5"/>
        <v>Complete</v>
      </c>
      <c r="X15" s="3" t="str">
        <f t="shared" si="6"/>
        <v>Complete</v>
      </c>
      <c r="Y15" s="3" t="s">
        <v>275</v>
      </c>
      <c r="Z15" s="2"/>
      <c r="AA15" s="2"/>
      <c r="AB15" s="2"/>
      <c r="AC15" s="2"/>
      <c r="AD15" s="2"/>
    </row>
    <row r="16" spans="1:30" ht="20" customHeight="1" x14ac:dyDescent="0.25">
      <c r="A16" s="3" t="s">
        <v>184</v>
      </c>
      <c r="B16" s="3" t="s">
        <v>185</v>
      </c>
      <c r="C16" s="3" t="s">
        <v>183</v>
      </c>
      <c r="D16" s="3">
        <v>6</v>
      </c>
      <c r="E16" s="26">
        <f>IF(ISNUMBER('Consensus Input'!E16),'Consensus Input'!E16,IF(AND(ISNUMBER('Consensus Input'!H16),ISNUMBER('Consensus Input'!K16)),'Consensus Input'!H16*'Consensus Input'!K16,""))</f>
        <v>5.7657591349647097</v>
      </c>
      <c r="F16" s="26">
        <f>IF(ISNUMBER('Consensus Input'!F16),'Consensus Input'!F16,IF(AND(ISNUMBER('Consensus Input'!I16),ISNUMBER('Consensus Input'!L16)),'Consensus Input'!I16*'Consensus Input'!L16,""))</f>
        <v>8.4378860040859198</v>
      </c>
      <c r="G16" s="26">
        <v>12.44552</v>
      </c>
      <c r="H16" s="27">
        <f t="shared" si="0"/>
        <v>2.6721268691212101</v>
      </c>
      <c r="I16" s="27">
        <f t="shared" si="1"/>
        <v>4.0076339959140803</v>
      </c>
      <c r="J16" s="28">
        <v>0.2</v>
      </c>
      <c r="K16" s="28">
        <v>0.3</v>
      </c>
      <c r="L16" s="28">
        <v>0.4</v>
      </c>
      <c r="M16" s="28">
        <v>0.35</v>
      </c>
      <c r="N16" s="28">
        <v>0.35</v>
      </c>
      <c r="O16" s="28">
        <v>0.45</v>
      </c>
      <c r="P16" s="6">
        <f t="shared" si="2"/>
        <v>0.53442537382424204</v>
      </c>
      <c r="Q16" s="6">
        <f t="shared" si="3"/>
        <v>0.80163806073636301</v>
      </c>
      <c r="R16" s="6">
        <f t="shared" si="4"/>
        <v>1.0688507476484841</v>
      </c>
      <c r="S16" s="6">
        <f t="shared" si="7"/>
        <v>1.402671898569928</v>
      </c>
      <c r="T16" s="6">
        <f t="shared" si="8"/>
        <v>1.402671898569928</v>
      </c>
      <c r="U16" s="6">
        <f t="shared" si="9"/>
        <v>1.8034352981613362</v>
      </c>
      <c r="V16" s="6">
        <f t="shared" si="10"/>
        <v>4.3559320000000001</v>
      </c>
      <c r="W16" s="3" t="str">
        <f t="shared" si="5"/>
        <v>Complete</v>
      </c>
      <c r="X16" s="3" t="str">
        <f t="shared" si="6"/>
        <v>Complete</v>
      </c>
      <c r="Y16" s="3" t="s">
        <v>276</v>
      </c>
      <c r="Z16" s="2"/>
      <c r="AA16" s="2"/>
      <c r="AB16" s="2"/>
      <c r="AC16" s="2"/>
      <c r="AD16" s="2"/>
    </row>
    <row r="17" spans="1:30" ht="20" customHeight="1" x14ac:dyDescent="0.25">
      <c r="A17" s="3" t="s">
        <v>186</v>
      </c>
      <c r="B17" s="3" t="s">
        <v>187</v>
      </c>
      <c r="C17" s="3" t="s">
        <v>183</v>
      </c>
      <c r="D17" s="3">
        <v>6</v>
      </c>
      <c r="E17" s="26">
        <f>IF(ISNUMBER('Consensus Input'!E17),'Consensus Input'!E17,IF(AND(ISNUMBER('Consensus Input'!H17),ISNUMBER('Consensus Input'!K17)),'Consensus Input'!H17*'Consensus Input'!K17,""))</f>
        <v>4.6302038100000003</v>
      </c>
      <c r="F17" s="26">
        <f>IF(ISNUMBER('Consensus Input'!F17),'Consensus Input'!F17,IF(AND(ISNUMBER('Consensus Input'!I17),ISNUMBER('Consensus Input'!L17)),'Consensus Input'!I17*'Consensus Input'!L17,""))</f>
        <v>5.3273220000000006</v>
      </c>
      <c r="G17" s="26">
        <v>7.7736260000000001</v>
      </c>
      <c r="H17" s="27">
        <f t="shared" si="0"/>
        <v>0.6971181900000003</v>
      </c>
      <c r="I17" s="27">
        <f t="shared" si="1"/>
        <v>2.4463039999999996</v>
      </c>
      <c r="J17" s="28">
        <v>0.1</v>
      </c>
      <c r="K17" s="28">
        <v>0.2</v>
      </c>
      <c r="L17" s="28">
        <v>0.3</v>
      </c>
      <c r="M17" s="28">
        <v>0.15</v>
      </c>
      <c r="N17" s="28">
        <v>0.25</v>
      </c>
      <c r="O17" s="28">
        <v>0.35</v>
      </c>
      <c r="P17" s="6">
        <f t="shared" si="2"/>
        <v>6.9711819000000036E-2</v>
      </c>
      <c r="Q17" s="6">
        <f t="shared" si="3"/>
        <v>0.13942363800000007</v>
      </c>
      <c r="R17" s="6">
        <f t="shared" si="4"/>
        <v>0.20913545700000008</v>
      </c>
      <c r="S17" s="6">
        <f t="shared" si="7"/>
        <v>0.36694559999999993</v>
      </c>
      <c r="T17" s="6">
        <f t="shared" si="8"/>
        <v>0.6115759999999999</v>
      </c>
      <c r="U17" s="6">
        <f t="shared" si="9"/>
        <v>0.85620639999999981</v>
      </c>
      <c r="V17" s="6">
        <f t="shared" si="10"/>
        <v>1.9434065</v>
      </c>
      <c r="W17" s="3" t="str">
        <f t="shared" si="5"/>
        <v>Complete</v>
      </c>
      <c r="X17" s="3" t="str">
        <f t="shared" si="6"/>
        <v>Complete</v>
      </c>
      <c r="Y17" s="3" t="s">
        <v>277</v>
      </c>
      <c r="Z17" s="2"/>
      <c r="AA17" s="2"/>
      <c r="AB17" s="2"/>
      <c r="AC17" s="2"/>
      <c r="AD17" s="2"/>
    </row>
    <row r="18" spans="1:30" ht="20" customHeight="1" x14ac:dyDescent="0.25">
      <c r="A18" s="3" t="s">
        <v>188</v>
      </c>
      <c r="B18" s="3" t="s">
        <v>189</v>
      </c>
      <c r="C18" s="3" t="s">
        <v>183</v>
      </c>
      <c r="D18" s="3">
        <v>12</v>
      </c>
      <c r="E18" s="26">
        <f>IF(ISNUMBER('Consensus Input'!E18),'Consensus Input'!E18,IF(AND(ISNUMBER('Consensus Input'!H18),ISNUMBER('Consensus Input'!K18)),'Consensus Input'!H18*'Consensus Input'!K18,""))</f>
        <v>1.330589173504374</v>
      </c>
      <c r="F18" s="26">
        <f>IF(ISNUMBER('Consensus Input'!F18),'Consensus Input'!F18,IF(AND(ISNUMBER('Consensus Input'!I18),ISNUMBER('Consensus Input'!L18)),'Consensus Input'!I18*'Consensus Input'!L18,""))</f>
        <v>1.628316720076578</v>
      </c>
      <c r="G18" s="26">
        <v>2.4287709999999998</v>
      </c>
      <c r="H18" s="27">
        <f t="shared" si="0"/>
        <v>0.29772754657220402</v>
      </c>
      <c r="I18" s="27">
        <f t="shared" si="1"/>
        <v>0.80045427992342177</v>
      </c>
      <c r="J18" s="28">
        <v>0.05</v>
      </c>
      <c r="K18" s="28">
        <v>0.15</v>
      </c>
      <c r="L18" s="28">
        <v>0.25</v>
      </c>
      <c r="M18" s="28">
        <v>0.1</v>
      </c>
      <c r="N18" s="28">
        <v>0.2</v>
      </c>
      <c r="O18" s="28">
        <v>0.3</v>
      </c>
      <c r="P18" s="6">
        <f t="shared" si="2"/>
        <v>1.4886377328610201E-2</v>
      </c>
      <c r="Q18" s="6">
        <f t="shared" si="3"/>
        <v>4.4659131985830602E-2</v>
      </c>
      <c r="R18" s="6">
        <f t="shared" si="4"/>
        <v>7.4431886643051004E-2</v>
      </c>
      <c r="S18" s="6">
        <f t="shared" si="7"/>
        <v>8.0045427992342183E-2</v>
      </c>
      <c r="T18" s="6">
        <f t="shared" si="8"/>
        <v>0.16009085598468437</v>
      </c>
      <c r="U18" s="6">
        <f t="shared" si="9"/>
        <v>0.24013628397702652</v>
      </c>
      <c r="V18" s="6">
        <f t="shared" si="10"/>
        <v>0.48575419999999997</v>
      </c>
      <c r="W18" s="3" t="str">
        <f t="shared" si="5"/>
        <v>Complete</v>
      </c>
      <c r="X18" s="3" t="str">
        <f t="shared" si="6"/>
        <v>Complete</v>
      </c>
      <c r="Y18" s="3" t="s">
        <v>278</v>
      </c>
      <c r="Z18" s="2"/>
      <c r="AA18" s="2"/>
      <c r="AB18" s="2"/>
      <c r="AC18" s="2"/>
      <c r="AD18" s="2"/>
    </row>
    <row r="19" spans="1:30" ht="20" customHeight="1" x14ac:dyDescent="0.25">
      <c r="A19" s="3" t="s">
        <v>190</v>
      </c>
      <c r="B19" s="3" t="s">
        <v>191</v>
      </c>
      <c r="C19" s="3" t="s">
        <v>183</v>
      </c>
      <c r="D19" s="3">
        <v>10</v>
      </c>
      <c r="E19" s="26">
        <f>IF(ISNUMBER('Consensus Input'!E19),'Consensus Input'!E19,IF(AND(ISNUMBER('Consensus Input'!H19),ISNUMBER('Consensus Input'!K19)),'Consensus Input'!H19*'Consensus Input'!K19,""))</f>
        <v>1.133732849185048</v>
      </c>
      <c r="F19" s="26">
        <f>IF(ISNUMBER('Consensus Input'!F19),'Consensus Input'!F19,IF(AND(ISNUMBER('Consensus Input'!I19),ISNUMBER('Consensus Input'!L19)),'Consensus Input'!I19*'Consensus Input'!L19,""))</f>
        <v>1.291449517306601</v>
      </c>
      <c r="G19" s="26">
        <v>3.4702829999999998</v>
      </c>
      <c r="H19" s="27">
        <f t="shared" si="0"/>
        <v>0.15771666812155294</v>
      </c>
      <c r="I19" s="27">
        <f t="shared" si="1"/>
        <v>2.178833482693399</v>
      </c>
      <c r="J19" s="28">
        <v>0.05</v>
      </c>
      <c r="K19" s="28">
        <v>0.15</v>
      </c>
      <c r="L19" s="28">
        <v>0.25</v>
      </c>
      <c r="M19" s="28">
        <v>0.1</v>
      </c>
      <c r="N19" s="28">
        <v>0.2</v>
      </c>
      <c r="O19" s="28">
        <v>0.3</v>
      </c>
      <c r="P19" s="6">
        <f t="shared" si="2"/>
        <v>7.8858334060776473E-3</v>
      </c>
      <c r="Q19" s="6">
        <f t="shared" si="3"/>
        <v>2.365750021823294E-2</v>
      </c>
      <c r="R19" s="6">
        <f t="shared" si="4"/>
        <v>3.9429167030388235E-2</v>
      </c>
      <c r="S19" s="6">
        <f t="shared" si="7"/>
        <v>0.21788334826933992</v>
      </c>
      <c r="T19" s="6">
        <f t="shared" si="8"/>
        <v>0.43576669653867983</v>
      </c>
      <c r="U19" s="6">
        <f t="shared" si="9"/>
        <v>0.65365004480801969</v>
      </c>
      <c r="V19" s="6">
        <f t="shared" si="10"/>
        <v>0.69405660000000002</v>
      </c>
      <c r="W19" s="3" t="str">
        <f t="shared" si="5"/>
        <v>Complete</v>
      </c>
      <c r="X19" s="3" t="str">
        <f t="shared" si="6"/>
        <v>Complete</v>
      </c>
      <c r="Y19" s="3" t="s">
        <v>279</v>
      </c>
      <c r="Z19" s="2"/>
      <c r="AA19" s="2"/>
      <c r="AB19" s="2"/>
      <c r="AC19" s="2"/>
      <c r="AD19" s="2"/>
    </row>
    <row r="20" spans="1:30" ht="20" customHeight="1" x14ac:dyDescent="0.25">
      <c r="A20" s="3" t="s">
        <v>192</v>
      </c>
      <c r="B20" s="3" t="s">
        <v>193</v>
      </c>
      <c r="C20" s="3" t="s">
        <v>194</v>
      </c>
      <c r="D20" s="3">
        <v>12</v>
      </c>
      <c r="E20" s="26">
        <f>IF(ISNUMBER('Consensus Input'!E20),'Consensus Input'!E20,IF(AND(ISNUMBER('Consensus Input'!H20),ISNUMBER('Consensus Input'!K20)),'Consensus Input'!H20*'Consensus Input'!K20,""))</f>
        <v>3.322749574074074</v>
      </c>
      <c r="F20" s="26">
        <f>IF(ISNUMBER('Consensus Input'!F20),'Consensus Input'!F20,IF(AND(ISNUMBER('Consensus Input'!I20),ISNUMBER('Consensus Input'!L20)),'Consensus Input'!I20*'Consensus Input'!L20,""))</f>
        <v>4.5023011532390758</v>
      </c>
      <c r="G20" s="26">
        <v>6.2732409999999996</v>
      </c>
      <c r="H20" s="27">
        <f t="shared" si="0"/>
        <v>1.1795515791650018</v>
      </c>
      <c r="I20" s="27">
        <f t="shared" si="1"/>
        <v>1.7709398467609239</v>
      </c>
      <c r="J20" s="28">
        <v>0.4</v>
      </c>
      <c r="K20" s="28">
        <v>0.55000000000000004</v>
      </c>
      <c r="L20" s="28">
        <v>0.7</v>
      </c>
      <c r="M20" s="28">
        <v>0.5</v>
      </c>
      <c r="N20" s="28">
        <v>0.65</v>
      </c>
      <c r="O20" s="28">
        <v>0.8</v>
      </c>
      <c r="P20" s="6">
        <f t="shared" si="2"/>
        <v>0.47182063166600074</v>
      </c>
      <c r="Q20" s="6">
        <f t="shared" si="3"/>
        <v>0.64875336854075105</v>
      </c>
      <c r="R20" s="6">
        <f t="shared" si="4"/>
        <v>0.82568610541550114</v>
      </c>
      <c r="S20" s="6">
        <f t="shared" si="7"/>
        <v>0.88546992338046193</v>
      </c>
      <c r="T20" s="6">
        <f t="shared" si="8"/>
        <v>1.1511109003946005</v>
      </c>
      <c r="U20" s="6">
        <f t="shared" si="9"/>
        <v>1.4167518774087391</v>
      </c>
      <c r="V20" s="6">
        <f t="shared" si="10"/>
        <v>4.0776066499999999</v>
      </c>
      <c r="W20" s="3" t="str">
        <f t="shared" si="5"/>
        <v>Complete</v>
      </c>
      <c r="X20" s="3" t="str">
        <f t="shared" si="6"/>
        <v>Complete</v>
      </c>
      <c r="Y20" s="3" t="s">
        <v>280</v>
      </c>
      <c r="Z20" s="2"/>
      <c r="AA20" s="2"/>
      <c r="AB20" s="2"/>
      <c r="AC20" s="2"/>
      <c r="AD20" s="2"/>
    </row>
    <row r="21" spans="1:30" ht="20" customHeight="1" x14ac:dyDescent="0.25">
      <c r="A21" s="3" t="s">
        <v>195</v>
      </c>
      <c r="B21" s="3" t="s">
        <v>196</v>
      </c>
      <c r="C21" s="3" t="s">
        <v>194</v>
      </c>
      <c r="D21" s="3">
        <v>7</v>
      </c>
      <c r="E21" s="26">
        <f>IF(ISNUMBER('Consensus Input'!E21),'Consensus Input'!E21,IF(AND(ISNUMBER('Consensus Input'!H21),ISNUMBER('Consensus Input'!K21)),'Consensus Input'!H21*'Consensus Input'!K21,""))</f>
        <v>10.992923295801619</v>
      </c>
      <c r="F21" s="26">
        <f>IF(ISNUMBER('Consensus Input'!F21),'Consensus Input'!F21,IF(AND(ISNUMBER('Consensus Input'!I21),ISNUMBER('Consensus Input'!L21)),'Consensus Input'!I21*'Consensus Input'!L21,""))</f>
        <v>15.640369024327113</v>
      </c>
      <c r="G21" s="26">
        <v>20.342566999999999</v>
      </c>
      <c r="H21" s="27">
        <f t="shared" si="0"/>
        <v>4.6474457285254935</v>
      </c>
      <c r="I21" s="27">
        <f t="shared" si="1"/>
        <v>4.7021979756728864</v>
      </c>
      <c r="J21" s="28">
        <v>0.05</v>
      </c>
      <c r="K21" s="28">
        <v>0.15</v>
      </c>
      <c r="L21" s="28">
        <v>0.25</v>
      </c>
      <c r="M21" s="28">
        <v>0.1</v>
      </c>
      <c r="N21" s="28">
        <v>0.2</v>
      </c>
      <c r="O21" s="28">
        <v>0.3</v>
      </c>
      <c r="P21" s="6">
        <f t="shared" si="2"/>
        <v>0.23237228642627469</v>
      </c>
      <c r="Q21" s="6">
        <f t="shared" si="3"/>
        <v>0.69711685927882405</v>
      </c>
      <c r="R21" s="6">
        <f t="shared" si="4"/>
        <v>1.1618614321313734</v>
      </c>
      <c r="S21" s="6">
        <f t="shared" si="7"/>
        <v>0.47021979756728866</v>
      </c>
      <c r="T21" s="6">
        <f t="shared" si="8"/>
        <v>0.94043959513457731</v>
      </c>
      <c r="U21" s="6">
        <f t="shared" si="9"/>
        <v>1.4106593927018658</v>
      </c>
      <c r="V21" s="6">
        <f t="shared" si="10"/>
        <v>4.0685133999999996</v>
      </c>
      <c r="W21" s="3" t="str">
        <f t="shared" si="5"/>
        <v>Complete</v>
      </c>
      <c r="X21" s="3" t="str">
        <f t="shared" si="6"/>
        <v>Complete</v>
      </c>
      <c r="Y21" s="3" t="s">
        <v>281</v>
      </c>
      <c r="Z21" s="2"/>
      <c r="AA21" s="2"/>
      <c r="AB21" s="2"/>
      <c r="AC21" s="2"/>
      <c r="AD21" s="2"/>
    </row>
    <row r="22" spans="1:30" ht="20" customHeight="1" x14ac:dyDescent="0.25">
      <c r="A22" s="3" t="s">
        <v>197</v>
      </c>
      <c r="B22" s="3" t="s">
        <v>198</v>
      </c>
      <c r="C22" s="3" t="s">
        <v>194</v>
      </c>
      <c r="D22" s="3">
        <v>1</v>
      </c>
      <c r="E22" s="26">
        <f>IF(ISNUMBER('Consensus Input'!E22),'Consensus Input'!E22,IF(AND(ISNUMBER('Consensus Input'!H22),ISNUMBER('Consensus Input'!K22)),'Consensus Input'!H22*'Consensus Input'!K22,""))</f>
        <v>1.0114179999999999</v>
      </c>
      <c r="F22" s="26">
        <f>IF(ISNUMBER('Consensus Input'!F22),'Consensus Input'!F22,IF(AND(ISNUMBER('Consensus Input'!I22),ISNUMBER('Consensus Input'!L22)),'Consensus Input'!I22*'Consensus Input'!L22,""))</f>
        <v>2.102789</v>
      </c>
      <c r="G22" s="26">
        <v>5.6645729999999999</v>
      </c>
      <c r="H22" s="27">
        <f t="shared" si="0"/>
        <v>1.0913710000000001</v>
      </c>
      <c r="I22" s="27">
        <f t="shared" si="1"/>
        <v>3.5617839999999998</v>
      </c>
      <c r="J22" s="28">
        <v>0.6</v>
      </c>
      <c r="K22" s="28">
        <v>0.75</v>
      </c>
      <c r="L22" s="28">
        <v>0.9</v>
      </c>
      <c r="M22" s="28">
        <v>0.7</v>
      </c>
      <c r="N22" s="28">
        <v>0.85</v>
      </c>
      <c r="O22" s="28">
        <v>0.95</v>
      </c>
      <c r="P22" s="6">
        <f t="shared" si="2"/>
        <v>0.65482260000000003</v>
      </c>
      <c r="Q22" s="6">
        <f t="shared" si="3"/>
        <v>0.81852825000000007</v>
      </c>
      <c r="R22" s="6">
        <f t="shared" si="4"/>
        <v>0.9822339000000001</v>
      </c>
      <c r="S22" s="6">
        <f t="shared" si="7"/>
        <v>2.4932487999999999</v>
      </c>
      <c r="T22" s="6">
        <f t="shared" si="8"/>
        <v>3.0275163999999997</v>
      </c>
      <c r="U22" s="6">
        <f t="shared" si="9"/>
        <v>3.3836947999999998</v>
      </c>
      <c r="V22" s="6">
        <f t="shared" si="10"/>
        <v>4.8148870499999994</v>
      </c>
      <c r="W22" s="3" t="str">
        <f t="shared" si="5"/>
        <v>Complete</v>
      </c>
      <c r="X22" s="3" t="str">
        <f t="shared" si="6"/>
        <v>Complete</v>
      </c>
      <c r="Y22" s="3" t="s">
        <v>282</v>
      </c>
      <c r="Z22" s="2"/>
      <c r="AA22" s="2"/>
      <c r="AB22" s="2"/>
      <c r="AC22" s="2"/>
      <c r="AD22" s="2"/>
    </row>
    <row r="23" spans="1:30" ht="20" customHeight="1" x14ac:dyDescent="0.25">
      <c r="A23" s="3" t="s">
        <v>199</v>
      </c>
      <c r="B23" s="3" t="s">
        <v>200</v>
      </c>
      <c r="C23" s="3" t="s">
        <v>194</v>
      </c>
      <c r="D23" s="3">
        <v>12</v>
      </c>
      <c r="E23" s="26">
        <f>IF(ISNUMBER('Consensus Input'!E23),'Consensus Input'!E23,IF(AND(ISNUMBER('Consensus Input'!H23),ISNUMBER('Consensus Input'!K23)),'Consensus Input'!H23*'Consensus Input'!K23,""))</f>
        <v>1.4690000000000001</v>
      </c>
      <c r="F23" s="26">
        <f>IF(ISNUMBER('Consensus Input'!F23),'Consensus Input'!F23,IF(AND(ISNUMBER('Consensus Input'!I23),ISNUMBER('Consensus Input'!L23)),'Consensus Input'!I23*'Consensus Input'!L23,""))</f>
        <v>2.360636</v>
      </c>
      <c r="G23" s="26">
        <v>3.5064989999999998</v>
      </c>
      <c r="H23" s="27">
        <f t="shared" si="0"/>
        <v>0.89163599999999987</v>
      </c>
      <c r="I23" s="27">
        <f t="shared" si="1"/>
        <v>1.1458629999999999</v>
      </c>
      <c r="J23" s="28">
        <v>0.2</v>
      </c>
      <c r="K23" s="28">
        <v>0.35</v>
      </c>
      <c r="L23" s="28">
        <v>0.5</v>
      </c>
      <c r="M23" s="28">
        <v>0.3</v>
      </c>
      <c r="N23" s="28">
        <v>0.45</v>
      </c>
      <c r="O23" s="28">
        <v>0.6</v>
      </c>
      <c r="P23" s="6">
        <f t="shared" si="2"/>
        <v>0.17832719999999999</v>
      </c>
      <c r="Q23" s="6">
        <f t="shared" si="3"/>
        <v>0.31207259999999992</v>
      </c>
      <c r="R23" s="6">
        <f t="shared" si="4"/>
        <v>0.44581799999999994</v>
      </c>
      <c r="S23" s="6">
        <f t="shared" si="7"/>
        <v>0.34375889999999992</v>
      </c>
      <c r="T23" s="6">
        <f t="shared" si="8"/>
        <v>0.51563834999999991</v>
      </c>
      <c r="U23" s="6">
        <f t="shared" si="9"/>
        <v>0.68751779999999985</v>
      </c>
      <c r="V23" s="6">
        <f t="shared" si="10"/>
        <v>1.5779245499999999</v>
      </c>
      <c r="W23" s="3" t="str">
        <f t="shared" si="5"/>
        <v>Complete</v>
      </c>
      <c r="X23" s="3" t="str">
        <f t="shared" si="6"/>
        <v>Complete</v>
      </c>
      <c r="Y23" s="3" t="s">
        <v>283</v>
      </c>
      <c r="Z23" s="2"/>
      <c r="AA23" s="2"/>
      <c r="AB23" s="2"/>
      <c r="AC23" s="2"/>
      <c r="AD23" s="2"/>
    </row>
    <row r="24" spans="1:30" ht="20" customHeight="1" x14ac:dyDescent="0.25">
      <c r="A24" s="3" t="s">
        <v>201</v>
      </c>
      <c r="B24" s="3" t="s">
        <v>202</v>
      </c>
      <c r="C24" s="3" t="s">
        <v>194</v>
      </c>
      <c r="D24" s="3">
        <v>12</v>
      </c>
      <c r="E24" s="26">
        <f>IF(ISNUMBER('Consensus Input'!E24),'Consensus Input'!E24,IF(AND(ISNUMBER('Consensus Input'!H24),ISNUMBER('Consensus Input'!K24)),'Consensus Input'!H24*'Consensus Input'!K24,""))</f>
        <v>3.8201999999999998</v>
      </c>
      <c r="F24" s="26">
        <f>IF(ISNUMBER('Consensus Input'!F24),'Consensus Input'!F24,IF(AND(ISNUMBER('Consensus Input'!I24),ISNUMBER('Consensus Input'!L24)),'Consensus Input'!I24*'Consensus Input'!L24,""))</f>
        <v>6.332954</v>
      </c>
      <c r="G24" s="26">
        <v>7.996556</v>
      </c>
      <c r="H24" s="27">
        <f t="shared" si="0"/>
        <v>2.5127540000000002</v>
      </c>
      <c r="I24" s="27">
        <f t="shared" si="1"/>
        <v>1.663602</v>
      </c>
      <c r="J24" s="28">
        <v>0.15</v>
      </c>
      <c r="K24" s="28">
        <v>0.25</v>
      </c>
      <c r="L24" s="28">
        <v>0.35</v>
      </c>
      <c r="M24" s="28">
        <v>0.2</v>
      </c>
      <c r="N24" s="28">
        <v>0.3</v>
      </c>
      <c r="O24" s="28">
        <v>0.4</v>
      </c>
      <c r="P24" s="6">
        <f t="shared" si="2"/>
        <v>0.3769131</v>
      </c>
      <c r="Q24" s="6">
        <f t="shared" si="3"/>
        <v>0.62818850000000004</v>
      </c>
      <c r="R24" s="6">
        <f t="shared" si="4"/>
        <v>0.87946389999999997</v>
      </c>
      <c r="S24" s="6">
        <f t="shared" si="7"/>
        <v>0.33272040000000003</v>
      </c>
      <c r="T24" s="6">
        <f t="shared" si="8"/>
        <v>0.49908059999999999</v>
      </c>
      <c r="U24" s="6">
        <f t="shared" si="9"/>
        <v>0.66544080000000005</v>
      </c>
      <c r="V24" s="6">
        <f t="shared" si="10"/>
        <v>2.3989667999999997</v>
      </c>
      <c r="W24" s="3" t="str">
        <f t="shared" si="5"/>
        <v>Complete</v>
      </c>
      <c r="X24" s="3" t="str">
        <f t="shared" si="6"/>
        <v>Complete</v>
      </c>
      <c r="Y24" s="3" t="s">
        <v>284</v>
      </c>
      <c r="Z24" s="2"/>
      <c r="AA24" s="2"/>
      <c r="AB24" s="2"/>
      <c r="AC24" s="2"/>
      <c r="AD24" s="2"/>
    </row>
    <row r="25" spans="1:30" ht="20" customHeight="1" x14ac:dyDescent="0.25">
      <c r="A25" s="3" t="s">
        <v>203</v>
      </c>
      <c r="B25" s="3" t="s">
        <v>204</v>
      </c>
      <c r="C25" s="3" t="s">
        <v>194</v>
      </c>
      <c r="D25" s="3">
        <v>6</v>
      </c>
      <c r="E25" s="26">
        <f>IF(ISNUMBER('Consensus Input'!E25),'Consensus Input'!E25,IF(AND(ISNUMBER('Consensus Input'!H25),ISNUMBER('Consensus Input'!K25)),'Consensus Input'!H25*'Consensus Input'!K25,""))</f>
        <v>0.109715096428603</v>
      </c>
      <c r="F25" s="26">
        <f>IF(ISNUMBER('Consensus Input'!F25),'Consensus Input'!F25,IF(AND(ISNUMBER('Consensus Input'!I25),ISNUMBER('Consensus Input'!L25)),'Consensus Input'!I25*'Consensus Input'!L25,""))</f>
        <v>0.88752247608238399</v>
      </c>
      <c r="G25" s="26">
        <v>2.5579339999999999</v>
      </c>
      <c r="H25" s="27">
        <f t="shared" si="0"/>
        <v>0.77780737965378099</v>
      </c>
      <c r="I25" s="27">
        <f t="shared" si="1"/>
        <v>1.670411523917616</v>
      </c>
      <c r="J25" s="28">
        <v>0.55000000000000004</v>
      </c>
      <c r="K25" s="28">
        <v>0.7</v>
      </c>
      <c r="L25" s="28">
        <v>0.85</v>
      </c>
      <c r="M25" s="28">
        <v>0.65</v>
      </c>
      <c r="N25" s="28">
        <v>0.8</v>
      </c>
      <c r="O25" s="28">
        <v>0.9</v>
      </c>
      <c r="P25" s="6">
        <f t="shared" si="2"/>
        <v>0.4277940588095796</v>
      </c>
      <c r="Q25" s="6">
        <f t="shared" si="3"/>
        <v>0.5444651657576467</v>
      </c>
      <c r="R25" s="6">
        <f t="shared" si="4"/>
        <v>0.66113627270571385</v>
      </c>
      <c r="S25" s="6">
        <f t="shared" si="7"/>
        <v>1.0857674905464505</v>
      </c>
      <c r="T25" s="6">
        <f t="shared" si="8"/>
        <v>1.336329219134093</v>
      </c>
      <c r="U25" s="6">
        <f t="shared" si="9"/>
        <v>1.5033703715258544</v>
      </c>
      <c r="V25" s="6">
        <f t="shared" si="10"/>
        <v>2.0463472</v>
      </c>
      <c r="W25" s="3" t="str">
        <f t="shared" si="5"/>
        <v>Complete</v>
      </c>
      <c r="X25" s="3" t="str">
        <f t="shared" si="6"/>
        <v>Complete</v>
      </c>
      <c r="Y25" s="3" t="s">
        <v>285</v>
      </c>
      <c r="Z25" s="2"/>
      <c r="AA25" s="2"/>
      <c r="AB25" s="2"/>
      <c r="AC25" s="2"/>
      <c r="AD25" s="2"/>
    </row>
    <row r="26" spans="1:30" ht="20" customHeight="1" x14ac:dyDescent="0.25">
      <c r="A26" s="3" t="s">
        <v>205</v>
      </c>
      <c r="B26" s="3" t="s">
        <v>206</v>
      </c>
      <c r="C26" s="3" t="s">
        <v>194</v>
      </c>
      <c r="D26" s="3">
        <v>6</v>
      </c>
      <c r="E26" s="26">
        <f>IF(ISNUMBER('Consensus Input'!E26),'Consensus Input'!E26,IF(AND(ISNUMBER('Consensus Input'!H26),ISNUMBER('Consensus Input'!K26)),'Consensus Input'!H26*'Consensus Input'!K26,""))</f>
        <v>0.371697882331681</v>
      </c>
      <c r="F26" s="26">
        <f>IF(ISNUMBER('Consensus Input'!F26),'Consensus Input'!F26,IF(AND(ISNUMBER('Consensus Input'!I26),ISNUMBER('Consensus Input'!L26)),'Consensus Input'!I26*'Consensus Input'!L26,""))</f>
        <v>1.0505765117457799</v>
      </c>
      <c r="G26" s="26">
        <v>2.223338</v>
      </c>
      <c r="H26" s="27">
        <f t="shared" si="0"/>
        <v>0.67887862941409893</v>
      </c>
      <c r="I26" s="27">
        <f t="shared" si="1"/>
        <v>1.1727614882542201</v>
      </c>
      <c r="J26" s="28">
        <v>0.5</v>
      </c>
      <c r="K26" s="28">
        <v>0.65</v>
      </c>
      <c r="L26" s="28">
        <v>0.8</v>
      </c>
      <c r="M26" s="28">
        <v>0.6</v>
      </c>
      <c r="N26" s="28">
        <v>0.75</v>
      </c>
      <c r="O26" s="28">
        <v>0.9</v>
      </c>
      <c r="P26" s="6">
        <f t="shared" si="2"/>
        <v>0.33943931470704947</v>
      </c>
      <c r="Q26" s="6">
        <f t="shared" si="3"/>
        <v>0.44127110911916434</v>
      </c>
      <c r="R26" s="6">
        <f t="shared" si="4"/>
        <v>0.54310290353127921</v>
      </c>
      <c r="S26" s="6">
        <f t="shared" si="7"/>
        <v>0.70365689295253209</v>
      </c>
      <c r="T26" s="6">
        <f t="shared" si="8"/>
        <v>0.87957111619066508</v>
      </c>
      <c r="U26" s="6">
        <f t="shared" si="9"/>
        <v>1.0554853394287982</v>
      </c>
      <c r="V26" s="6">
        <f t="shared" si="10"/>
        <v>1.6675035</v>
      </c>
      <c r="W26" s="3" t="str">
        <f t="shared" si="5"/>
        <v>Complete</v>
      </c>
      <c r="X26" s="3" t="str">
        <f t="shared" si="6"/>
        <v>Complete</v>
      </c>
      <c r="Y26" s="3" t="s">
        <v>286</v>
      </c>
      <c r="Z26" s="2"/>
      <c r="AA26" s="2"/>
      <c r="AB26" s="2"/>
      <c r="AC26" s="2"/>
      <c r="AD26" s="2"/>
    </row>
    <row r="27" spans="1:30" ht="20" customHeight="1" x14ac:dyDescent="0.25">
      <c r="A27" s="3" t="s">
        <v>207</v>
      </c>
      <c r="B27" s="3" t="s">
        <v>208</v>
      </c>
      <c r="C27" s="3" t="s">
        <v>209</v>
      </c>
      <c r="D27" s="3">
        <v>1</v>
      </c>
      <c r="E27" s="26">
        <f>IF(ISNUMBER('Consensus Input'!E27),'Consensus Input'!E27,IF(AND(ISNUMBER('Consensus Input'!H27),ISNUMBER('Consensus Input'!K27)),'Consensus Input'!H27*'Consensus Input'!K27,""))</f>
        <v>5.365186331301139</v>
      </c>
      <c r="F27" s="26">
        <f>IF(ISNUMBER('Consensus Input'!F27),'Consensus Input'!F27,IF(AND(ISNUMBER('Consensus Input'!I27),ISNUMBER('Consensus Input'!L27)),'Consensus Input'!I27*'Consensus Input'!L27,""))</f>
        <v>14.03614699600398</v>
      </c>
      <c r="G27" s="26">
        <v>19.005972</v>
      </c>
      <c r="H27" s="27">
        <f t="shared" si="0"/>
        <v>8.6709606647028412</v>
      </c>
      <c r="I27" s="27">
        <f t="shared" si="1"/>
        <v>4.9698250039960197</v>
      </c>
      <c r="J27" s="28">
        <v>0.55000000000000004</v>
      </c>
      <c r="K27" s="28">
        <v>0.7</v>
      </c>
      <c r="L27" s="28">
        <v>0.85</v>
      </c>
      <c r="M27" s="28">
        <v>0.6</v>
      </c>
      <c r="N27" s="28">
        <v>0.75</v>
      </c>
      <c r="O27" s="28">
        <v>0.9</v>
      </c>
      <c r="P27" s="6">
        <f t="shared" si="2"/>
        <v>4.7690283655865633</v>
      </c>
      <c r="Q27" s="6">
        <f t="shared" si="3"/>
        <v>6.0696724652919887</v>
      </c>
      <c r="R27" s="6">
        <f t="shared" si="4"/>
        <v>7.3703165649974149</v>
      </c>
      <c r="S27" s="6">
        <f t="shared" si="7"/>
        <v>2.9818950023976116</v>
      </c>
      <c r="T27" s="6">
        <f t="shared" si="8"/>
        <v>3.7273687529970148</v>
      </c>
      <c r="U27" s="6">
        <f t="shared" si="9"/>
        <v>4.4728425035964179</v>
      </c>
      <c r="V27" s="6">
        <f t="shared" si="10"/>
        <v>14.254479</v>
      </c>
      <c r="W27" s="3" t="str">
        <f t="shared" si="5"/>
        <v>Complete</v>
      </c>
      <c r="X27" s="3" t="str">
        <f t="shared" si="6"/>
        <v>Complete</v>
      </c>
      <c r="Y27" s="3" t="s">
        <v>287</v>
      </c>
      <c r="Z27" s="2"/>
      <c r="AA27" s="2"/>
      <c r="AB27" s="2"/>
      <c r="AC27" s="2"/>
      <c r="AD27" s="2"/>
    </row>
    <row r="28" spans="1:30" ht="20" customHeight="1" x14ac:dyDescent="0.25">
      <c r="A28" s="3" t="s">
        <v>210</v>
      </c>
      <c r="B28" s="3" t="s">
        <v>211</v>
      </c>
      <c r="C28" s="3" t="s">
        <v>209</v>
      </c>
      <c r="D28" s="3">
        <v>10</v>
      </c>
      <c r="E28" s="26">
        <f>IF(ISNUMBER('Consensus Input'!E28),'Consensus Input'!E28,IF(AND(ISNUMBER('Consensus Input'!H28),ISNUMBER('Consensus Input'!K28)),'Consensus Input'!H28*'Consensus Input'!K28,""))</f>
        <v>1.859497936929515</v>
      </c>
      <c r="F28" s="26">
        <f>IF(ISNUMBER('Consensus Input'!F28),'Consensus Input'!F28,IF(AND(ISNUMBER('Consensus Input'!I28),ISNUMBER('Consensus Input'!L28)),'Consensus Input'!I28*'Consensus Input'!L28,""))</f>
        <v>4.6604949908256881</v>
      </c>
      <c r="G28" s="26">
        <v>6.5153790000000003</v>
      </c>
      <c r="H28" s="27">
        <f t="shared" si="0"/>
        <v>2.800997053896173</v>
      </c>
      <c r="I28" s="27">
        <f t="shared" si="1"/>
        <v>1.8548840091743122</v>
      </c>
      <c r="J28" s="28">
        <v>0.25</v>
      </c>
      <c r="K28" s="28">
        <v>0.4</v>
      </c>
      <c r="L28" s="28">
        <v>0.55000000000000004</v>
      </c>
      <c r="M28" s="28">
        <v>0.35</v>
      </c>
      <c r="N28" s="28">
        <v>0.5</v>
      </c>
      <c r="O28" s="28">
        <v>0.65</v>
      </c>
      <c r="P28" s="6">
        <f t="shared" si="2"/>
        <v>0.70024926347404326</v>
      </c>
      <c r="Q28" s="6">
        <f t="shared" si="3"/>
        <v>1.1203988215584693</v>
      </c>
      <c r="R28" s="6">
        <f t="shared" si="4"/>
        <v>1.5405483796428954</v>
      </c>
      <c r="S28" s="6">
        <f t="shared" si="7"/>
        <v>0.64920940321100917</v>
      </c>
      <c r="T28" s="6">
        <f t="shared" si="8"/>
        <v>0.92744200458715609</v>
      </c>
      <c r="U28" s="6">
        <f t="shared" si="9"/>
        <v>1.205674605963303</v>
      </c>
      <c r="V28" s="6">
        <f t="shared" si="10"/>
        <v>3.2576895000000001</v>
      </c>
      <c r="W28" s="3" t="str">
        <f t="shared" si="5"/>
        <v>Complete</v>
      </c>
      <c r="X28" s="3" t="str">
        <f t="shared" si="6"/>
        <v>Complete</v>
      </c>
      <c r="Y28" s="3" t="s">
        <v>288</v>
      </c>
      <c r="Z28" s="2"/>
      <c r="AA28" s="2"/>
      <c r="AB28" s="2"/>
      <c r="AC28" s="2"/>
      <c r="AD28" s="2"/>
    </row>
    <row r="29" spans="1:30" ht="20" customHeight="1" x14ac:dyDescent="0.25">
      <c r="A29" s="3" t="s">
        <v>212</v>
      </c>
      <c r="B29" s="3" t="s">
        <v>213</v>
      </c>
      <c r="C29" s="3" t="s">
        <v>209</v>
      </c>
      <c r="D29" s="3">
        <v>6</v>
      </c>
      <c r="E29" s="26">
        <f>IF(ISNUMBER('Consensus Input'!E29),'Consensus Input'!E29,IF(AND(ISNUMBER('Consensus Input'!H29),ISNUMBER('Consensus Input'!K29)),'Consensus Input'!H29*'Consensus Input'!K29,""))</f>
        <v>0.82472571318342003</v>
      </c>
      <c r="F29" s="26">
        <f>IF(ISNUMBER('Consensus Input'!F29),'Consensus Input'!F29,IF(AND(ISNUMBER('Consensus Input'!I29),ISNUMBER('Consensus Input'!L29)),'Consensus Input'!I29*'Consensus Input'!L29,""))</f>
        <v>2.8791320000000002</v>
      </c>
      <c r="G29" s="26">
        <v>3.6858309999999999</v>
      </c>
      <c r="H29" s="27">
        <f t="shared" si="0"/>
        <v>2.0544062868165804</v>
      </c>
      <c r="I29" s="27">
        <f t="shared" si="1"/>
        <v>0.80669899999999961</v>
      </c>
      <c r="J29" s="28">
        <v>0.7</v>
      </c>
      <c r="K29" s="28">
        <v>0.85</v>
      </c>
      <c r="L29" s="28">
        <v>0.95</v>
      </c>
      <c r="M29" s="28">
        <v>0.8</v>
      </c>
      <c r="N29" s="28">
        <v>0.9</v>
      </c>
      <c r="O29" s="28">
        <v>1</v>
      </c>
      <c r="P29" s="6">
        <f t="shared" si="2"/>
        <v>1.4380844007716063</v>
      </c>
      <c r="Q29" s="6">
        <f t="shared" si="3"/>
        <v>1.7462453437940932</v>
      </c>
      <c r="R29" s="6">
        <f t="shared" si="4"/>
        <v>1.9516859724757514</v>
      </c>
      <c r="S29" s="6">
        <f t="shared" si="7"/>
        <v>0.64535919999999969</v>
      </c>
      <c r="T29" s="6">
        <f t="shared" si="8"/>
        <v>0.72602909999999965</v>
      </c>
      <c r="U29" s="6">
        <f t="shared" si="9"/>
        <v>0.80669899999999961</v>
      </c>
      <c r="V29" s="6">
        <f t="shared" si="10"/>
        <v>3.3172478999999999</v>
      </c>
      <c r="W29" s="3" t="str">
        <f t="shared" si="5"/>
        <v>Complete</v>
      </c>
      <c r="X29" s="3" t="str">
        <f t="shared" si="6"/>
        <v>Complete</v>
      </c>
      <c r="Y29" s="3" t="s">
        <v>289</v>
      </c>
      <c r="Z29" s="2"/>
      <c r="AA29" s="2"/>
      <c r="AB29" s="2"/>
      <c r="AC29" s="2"/>
      <c r="AD29" s="2"/>
    </row>
    <row r="30" spans="1:30" ht="20" customHeight="1" x14ac:dyDescent="0.25">
      <c r="A30" s="3" t="s">
        <v>214</v>
      </c>
      <c r="B30" s="3" t="s">
        <v>215</v>
      </c>
      <c r="C30" s="3" t="s">
        <v>209</v>
      </c>
      <c r="D30" s="3">
        <v>6</v>
      </c>
      <c r="E30" s="26">
        <f>IF(ISNUMBER('Consensus Input'!E30),'Consensus Input'!E30,IF(AND(ISNUMBER('Consensus Input'!H30),ISNUMBER('Consensus Input'!K30)),'Consensus Input'!H30*'Consensus Input'!K30,""))</f>
        <v>2.5437634507501636</v>
      </c>
      <c r="F30" s="26">
        <f>IF(ISNUMBER('Consensus Input'!F30),'Consensus Input'!F30,IF(AND(ISNUMBER('Consensus Input'!I30),ISNUMBER('Consensus Input'!L30)),'Consensus Input'!I30*'Consensus Input'!L30,""))</f>
        <v>6.1386274765695212</v>
      </c>
      <c r="G30" s="26">
        <v>9.0979240000000008</v>
      </c>
      <c r="H30" s="27">
        <f t="shared" si="0"/>
        <v>3.5948640258193576</v>
      </c>
      <c r="I30" s="27">
        <f t="shared" si="1"/>
        <v>2.9592965234304796</v>
      </c>
      <c r="J30" s="28">
        <v>0.15</v>
      </c>
      <c r="K30" s="28">
        <v>0.2</v>
      </c>
      <c r="L30" s="28">
        <v>0.35</v>
      </c>
      <c r="M30" s="28">
        <v>0.15</v>
      </c>
      <c r="N30" s="28">
        <v>0.25</v>
      </c>
      <c r="O30" s="28">
        <v>0.4</v>
      </c>
      <c r="P30" s="6">
        <f t="shared" si="2"/>
        <v>0.53922960387290364</v>
      </c>
      <c r="Q30" s="6">
        <f t="shared" si="3"/>
        <v>0.71897280516387152</v>
      </c>
      <c r="R30" s="6">
        <f t="shared" si="4"/>
        <v>1.2582024090367752</v>
      </c>
      <c r="S30" s="6">
        <f t="shared" si="7"/>
        <v>0.44389447851457192</v>
      </c>
      <c r="T30" s="6">
        <f t="shared" si="8"/>
        <v>0.73982413085761989</v>
      </c>
      <c r="U30" s="6">
        <f t="shared" si="9"/>
        <v>1.1837186093721919</v>
      </c>
      <c r="V30" s="6">
        <f t="shared" si="10"/>
        <v>2.2744810000000002</v>
      </c>
      <c r="W30" s="3" t="str">
        <f t="shared" si="5"/>
        <v>Complete</v>
      </c>
      <c r="X30" s="3" t="str">
        <f t="shared" si="6"/>
        <v>Complete</v>
      </c>
      <c r="Y30" s="3" t="s">
        <v>290</v>
      </c>
      <c r="Z30" s="2"/>
      <c r="AA30" s="2"/>
      <c r="AB30" s="2"/>
      <c r="AC30" s="2"/>
      <c r="AD30" s="2"/>
    </row>
    <row r="31" spans="1:30" ht="20" customHeight="1" x14ac:dyDescent="0.25">
      <c r="A31" s="3" t="s">
        <v>216</v>
      </c>
      <c r="B31" s="3" t="s">
        <v>217</v>
      </c>
      <c r="C31" s="3" t="s">
        <v>209</v>
      </c>
      <c r="D31" s="3">
        <v>6</v>
      </c>
      <c r="E31" s="26">
        <f>IF(ISNUMBER('Consensus Input'!E31),'Consensus Input'!E31,IF(AND(ISNUMBER('Consensus Input'!H31),ISNUMBER('Consensus Input'!K31)),'Consensus Input'!H31*'Consensus Input'!K31,""))</f>
        <v>1.7965469607843141</v>
      </c>
      <c r="F31" s="26">
        <f>IF(ISNUMBER('Consensus Input'!F31),'Consensus Input'!F31,IF(AND(ISNUMBER('Consensus Input'!I31),ISNUMBER('Consensus Input'!L31)),'Consensus Input'!I31*'Consensus Input'!L31,""))</f>
        <v>4.5388944326205598</v>
      </c>
      <c r="G31" s="26">
        <v>9.4873879999999993</v>
      </c>
      <c r="H31" s="27">
        <f t="shared" si="0"/>
        <v>2.7423474718362457</v>
      </c>
      <c r="I31" s="27">
        <f t="shared" si="1"/>
        <v>4.9484935673794395</v>
      </c>
      <c r="J31" s="28">
        <v>0.15</v>
      </c>
      <c r="K31" s="28">
        <v>0.2</v>
      </c>
      <c r="L31" s="28">
        <v>0.35</v>
      </c>
      <c r="M31" s="28">
        <v>0.15</v>
      </c>
      <c r="N31" s="28">
        <v>0.25</v>
      </c>
      <c r="O31" s="28">
        <v>0.4</v>
      </c>
      <c r="P31" s="6">
        <f t="shared" si="2"/>
        <v>0.41135212077543687</v>
      </c>
      <c r="Q31" s="6">
        <f t="shared" si="3"/>
        <v>0.54846949436724912</v>
      </c>
      <c r="R31" s="6">
        <f t="shared" si="4"/>
        <v>0.95982161514268594</v>
      </c>
      <c r="S31" s="6">
        <f t="shared" si="7"/>
        <v>0.74227403510691592</v>
      </c>
      <c r="T31" s="6">
        <f t="shared" si="8"/>
        <v>1.2371233918448599</v>
      </c>
      <c r="U31" s="6">
        <f t="shared" si="9"/>
        <v>1.9793974269517758</v>
      </c>
      <c r="V31" s="6">
        <f t="shared" si="10"/>
        <v>2.3718469999999998</v>
      </c>
      <c r="W31" s="3" t="str">
        <f t="shared" si="5"/>
        <v>Complete</v>
      </c>
      <c r="X31" s="3" t="str">
        <f t="shared" si="6"/>
        <v>Complete</v>
      </c>
      <c r="Y31" s="3" t="s">
        <v>290</v>
      </c>
      <c r="Z31" s="2"/>
      <c r="AA31" s="2"/>
      <c r="AB31" s="2"/>
      <c r="AC31" s="2"/>
      <c r="AD31" s="2"/>
    </row>
    <row r="32" spans="1:30" ht="20" customHeight="1" x14ac:dyDescent="0.25">
      <c r="A32" s="3" t="s">
        <v>218</v>
      </c>
      <c r="B32" s="3" t="s">
        <v>219</v>
      </c>
      <c r="C32" s="3" t="s">
        <v>220</v>
      </c>
      <c r="D32" s="3">
        <v>12</v>
      </c>
      <c r="E32" s="26">
        <f>IF(ISNUMBER('Consensus Input'!E32),'Consensus Input'!E32,IF(AND(ISNUMBER('Consensus Input'!H32),ISNUMBER('Consensus Input'!K32)),'Consensus Input'!H32*'Consensus Input'!K32,""))</f>
        <v>1.0709450000000003</v>
      </c>
      <c r="F32" s="26">
        <f>IF(ISNUMBER('Consensus Input'!F32),'Consensus Input'!F32,IF(AND(ISNUMBER('Consensus Input'!I32),ISNUMBER('Consensus Input'!L32)),'Consensus Input'!I32*'Consensus Input'!L32,""))</f>
        <v>2.0808380000000004</v>
      </c>
      <c r="G32" s="26">
        <v>3.2759870000000002</v>
      </c>
      <c r="H32" s="27">
        <f t="shared" si="0"/>
        <v>1.0098930000000002</v>
      </c>
      <c r="I32" s="27">
        <f t="shared" si="1"/>
        <v>1.1951489999999998</v>
      </c>
      <c r="J32" s="28">
        <v>0.6</v>
      </c>
      <c r="K32" s="28">
        <v>0.75</v>
      </c>
      <c r="L32" s="28">
        <v>0.9</v>
      </c>
      <c r="M32" s="28">
        <v>0.65</v>
      </c>
      <c r="N32" s="28">
        <v>0.8</v>
      </c>
      <c r="O32" s="28">
        <v>0.95</v>
      </c>
      <c r="P32" s="6">
        <f t="shared" si="2"/>
        <v>0.60593580000000002</v>
      </c>
      <c r="Q32" s="6">
        <f t="shared" si="3"/>
        <v>0.75741975000000017</v>
      </c>
      <c r="R32" s="6">
        <f t="shared" si="4"/>
        <v>0.9089037000000002</v>
      </c>
      <c r="S32" s="6">
        <f t="shared" si="7"/>
        <v>0.77684684999999987</v>
      </c>
      <c r="T32" s="6">
        <f t="shared" si="8"/>
        <v>0.95611919999999984</v>
      </c>
      <c r="U32" s="6">
        <f t="shared" si="9"/>
        <v>1.1353915499999998</v>
      </c>
      <c r="V32" s="6">
        <f t="shared" si="10"/>
        <v>2.6207896000000002</v>
      </c>
      <c r="W32" s="3" t="str">
        <f t="shared" si="5"/>
        <v>Complete</v>
      </c>
      <c r="X32" s="3" t="str">
        <f t="shared" si="6"/>
        <v>Complete</v>
      </c>
      <c r="Y32" s="3" t="s">
        <v>291</v>
      </c>
      <c r="Z32" s="2"/>
      <c r="AA32" s="2"/>
      <c r="AB32" s="2"/>
      <c r="AC32" s="2"/>
      <c r="AD32" s="2"/>
    </row>
    <row r="33" spans="1:30" ht="20" customHeight="1" x14ac:dyDescent="0.25">
      <c r="A33" s="3" t="s">
        <v>221</v>
      </c>
      <c r="B33" s="3" t="s">
        <v>222</v>
      </c>
      <c r="C33" s="3" t="s">
        <v>220</v>
      </c>
      <c r="D33" s="3">
        <v>12</v>
      </c>
      <c r="E33" s="26">
        <f>IF(ISNUMBER('Consensus Input'!E33),'Consensus Input'!E33,IF(AND(ISNUMBER('Consensus Input'!H33),ISNUMBER('Consensus Input'!K33)),'Consensus Input'!H33*'Consensus Input'!K33,""))</f>
        <v>4.173</v>
      </c>
      <c r="F33" s="26">
        <f>IF(ISNUMBER('Consensus Input'!F33),'Consensus Input'!F33,IF(AND(ISNUMBER('Consensus Input'!I33),ISNUMBER('Consensus Input'!L33)),'Consensus Input'!I33*'Consensus Input'!L33,""))</f>
        <v>4.6301759999999996</v>
      </c>
      <c r="G33" s="26">
        <v>6.0624669999999998</v>
      </c>
      <c r="H33" s="27">
        <f t="shared" si="0"/>
        <v>0.45717599999999958</v>
      </c>
      <c r="I33" s="27">
        <f t="shared" si="1"/>
        <v>1.4322910000000002</v>
      </c>
      <c r="J33" s="28">
        <v>0.2</v>
      </c>
      <c r="K33" s="28">
        <v>0.3</v>
      </c>
      <c r="L33" s="28">
        <v>0.45</v>
      </c>
      <c r="M33" s="28">
        <v>0.25</v>
      </c>
      <c r="N33" s="28">
        <v>0.35</v>
      </c>
      <c r="O33" s="28">
        <v>0.5</v>
      </c>
      <c r="P33" s="6">
        <f t="shared" si="2"/>
        <v>9.1435199999999925E-2</v>
      </c>
      <c r="Q33" s="6">
        <f t="shared" si="3"/>
        <v>0.13715279999999988</v>
      </c>
      <c r="R33" s="6">
        <f t="shared" si="4"/>
        <v>0.20572919999999981</v>
      </c>
      <c r="S33" s="6">
        <f t="shared" si="7"/>
        <v>0.35807275000000005</v>
      </c>
      <c r="T33" s="6">
        <f t="shared" si="8"/>
        <v>0.50130185000000005</v>
      </c>
      <c r="U33" s="6">
        <f t="shared" si="9"/>
        <v>0.7161455000000001</v>
      </c>
      <c r="V33" s="6">
        <f t="shared" si="10"/>
        <v>2.1218634499999998</v>
      </c>
      <c r="W33" s="3" t="str">
        <f t="shared" si="5"/>
        <v>Complete</v>
      </c>
      <c r="X33" s="3" t="str">
        <f t="shared" si="6"/>
        <v>Complete</v>
      </c>
      <c r="Y33" s="3" t="s">
        <v>292</v>
      </c>
      <c r="Z33" s="2"/>
      <c r="AA33" s="2"/>
      <c r="AB33" s="2"/>
      <c r="AC33" s="2"/>
      <c r="AD33" s="2"/>
    </row>
    <row r="34" spans="1:30" ht="20" customHeight="1" x14ac:dyDescent="0.25">
      <c r="A34" s="3" t="s">
        <v>223</v>
      </c>
      <c r="B34" s="3" t="s">
        <v>224</v>
      </c>
      <c r="C34" s="3" t="s">
        <v>220</v>
      </c>
      <c r="D34" s="3">
        <v>12</v>
      </c>
      <c r="E34" s="26">
        <f>IF(ISNUMBER('Consensus Input'!E34),'Consensus Input'!E34,IF(AND(ISNUMBER('Consensus Input'!H34),ISNUMBER('Consensus Input'!K34)),'Consensus Input'!H34*'Consensus Input'!K34,""))</f>
        <v>1.8959699999999997</v>
      </c>
      <c r="F34" s="26">
        <f>IF(ISNUMBER('Consensus Input'!F34),'Consensus Input'!F34,IF(AND(ISNUMBER('Consensus Input'!I34),ISNUMBER('Consensus Input'!L34)),'Consensus Input'!I34*'Consensus Input'!L34,""))</f>
        <v>6.5965949999999998</v>
      </c>
      <c r="G34" s="26">
        <v>5.8737259999999996</v>
      </c>
      <c r="H34" s="27">
        <f t="shared" si="0"/>
        <v>4.7006250000000005</v>
      </c>
      <c r="I34" s="27">
        <f t="shared" si="1"/>
        <v>-0.72286900000000021</v>
      </c>
      <c r="J34" s="28">
        <v>0.15</v>
      </c>
      <c r="K34" s="28">
        <v>0.3</v>
      </c>
      <c r="L34" s="28">
        <v>0.45</v>
      </c>
      <c r="M34" s="28">
        <v>0.2</v>
      </c>
      <c r="N34" s="28">
        <v>0.35</v>
      </c>
      <c r="O34" s="28">
        <v>0.5</v>
      </c>
      <c r="P34" s="6">
        <f t="shared" si="2"/>
        <v>0.70509375000000007</v>
      </c>
      <c r="Q34" s="6">
        <f t="shared" si="3"/>
        <v>1.4101875000000001</v>
      </c>
      <c r="R34" s="6">
        <f t="shared" si="4"/>
        <v>2.1152812500000002</v>
      </c>
      <c r="S34" s="6">
        <f t="shared" si="7"/>
        <v>-0.14457380000000006</v>
      </c>
      <c r="T34" s="6">
        <f t="shared" si="8"/>
        <v>-0.25300415000000004</v>
      </c>
      <c r="U34" s="6">
        <f t="shared" si="9"/>
        <v>-0.3614345000000001</v>
      </c>
      <c r="V34" s="6">
        <f t="shared" si="10"/>
        <v>2.0558040999999996</v>
      </c>
      <c r="W34" s="3" t="str">
        <f t="shared" si="5"/>
        <v>Complete</v>
      </c>
      <c r="X34" s="3" t="str">
        <f t="shared" si="6"/>
        <v>Complete</v>
      </c>
      <c r="Y34" s="3" t="s">
        <v>293</v>
      </c>
      <c r="Z34" s="2"/>
      <c r="AA34" s="2"/>
      <c r="AB34" s="2"/>
      <c r="AC34" s="2"/>
      <c r="AD34" s="2"/>
    </row>
    <row r="35" spans="1:30" ht="20" customHeight="1" x14ac:dyDescent="0.25">
      <c r="A35" s="3" t="s">
        <v>225</v>
      </c>
      <c r="B35" s="3" t="s">
        <v>226</v>
      </c>
      <c r="C35" s="3" t="s">
        <v>220</v>
      </c>
      <c r="D35" s="3">
        <v>12</v>
      </c>
      <c r="E35" s="26">
        <f>IF(ISNUMBER('Consensus Input'!E35),'Consensus Input'!E35,IF(AND(ISNUMBER('Consensus Input'!H35),ISNUMBER('Consensus Input'!K35)),'Consensus Input'!H35*'Consensus Input'!K35,""))</f>
        <v>1.5728211354063082</v>
      </c>
      <c r="F35" s="26">
        <f>IF(ISNUMBER('Consensus Input'!F35),'Consensus Input'!F35,IF(AND(ISNUMBER('Consensus Input'!I35),ISNUMBER('Consensus Input'!L35)),'Consensus Input'!I35*'Consensus Input'!L35,""))</f>
        <v>1.6247518820867408</v>
      </c>
      <c r="G35" s="26">
        <v>2.6401379999999999</v>
      </c>
      <c r="H35" s="27">
        <f t="shared" si="0"/>
        <v>5.1930746680432627E-2</v>
      </c>
      <c r="I35" s="27">
        <f t="shared" si="1"/>
        <v>1.0153861179132591</v>
      </c>
      <c r="J35" s="28">
        <v>0.05</v>
      </c>
      <c r="K35" s="28">
        <v>0.1</v>
      </c>
      <c r="L35" s="28">
        <v>0.2</v>
      </c>
      <c r="M35" s="28">
        <v>0.1</v>
      </c>
      <c r="N35" s="28">
        <v>0.2</v>
      </c>
      <c r="O35" s="28">
        <v>0.3</v>
      </c>
      <c r="P35" s="6">
        <f t="shared" si="2"/>
        <v>2.5965373340216314E-3</v>
      </c>
      <c r="Q35" s="6">
        <f t="shared" si="3"/>
        <v>5.1930746680432628E-3</v>
      </c>
      <c r="R35" s="6">
        <f t="shared" si="4"/>
        <v>1.0386149336086526E-2</v>
      </c>
      <c r="S35" s="6">
        <f t="shared" si="7"/>
        <v>0.10153861179132591</v>
      </c>
      <c r="T35" s="6">
        <f t="shared" si="8"/>
        <v>0.20307722358265182</v>
      </c>
      <c r="U35" s="6">
        <f t="shared" si="9"/>
        <v>0.30461583537397768</v>
      </c>
      <c r="V35" s="6">
        <f t="shared" si="10"/>
        <v>0.52802760000000004</v>
      </c>
      <c r="W35" s="3" t="str">
        <f t="shared" si="5"/>
        <v>Complete</v>
      </c>
      <c r="X35" s="3" t="str">
        <f t="shared" si="6"/>
        <v>Complete</v>
      </c>
      <c r="Y35" s="3" t="s">
        <v>294</v>
      </c>
      <c r="Z35" s="2"/>
      <c r="AA35" s="2"/>
      <c r="AB35" s="2"/>
      <c r="AC35" s="2"/>
      <c r="AD35" s="2"/>
    </row>
    <row r="36" spans="1:30" ht="20" customHeight="1" x14ac:dyDescent="0.25">
      <c r="A36" s="3" t="s">
        <v>227</v>
      </c>
      <c r="B36" s="3" t="s">
        <v>228</v>
      </c>
      <c r="C36" s="3" t="s">
        <v>220</v>
      </c>
      <c r="D36" s="3">
        <v>12</v>
      </c>
      <c r="E36" s="26">
        <f>IF(ISNUMBER('Consensus Input'!E36),'Consensus Input'!E36,IF(AND(ISNUMBER('Consensus Input'!H36),ISNUMBER('Consensus Input'!K36)),'Consensus Input'!H36*'Consensus Input'!K36,""))</f>
        <v>0.88451884103715206</v>
      </c>
      <c r="F36" s="26">
        <f>IF(ISNUMBER('Consensus Input'!F36),'Consensus Input'!F36,IF(AND(ISNUMBER('Consensus Input'!I36),ISNUMBER('Consensus Input'!L36)),'Consensus Input'!I36*'Consensus Input'!L36,""))</f>
        <v>0.99076311272393403</v>
      </c>
      <c r="G36" s="26">
        <v>1.1769989999999999</v>
      </c>
      <c r="H36" s="27">
        <f t="shared" si="0"/>
        <v>0.10624427168678197</v>
      </c>
      <c r="I36" s="27">
        <f t="shared" si="1"/>
        <v>0.18623588727606588</v>
      </c>
      <c r="J36" s="28">
        <v>0.05</v>
      </c>
      <c r="K36" s="28">
        <v>0.1</v>
      </c>
      <c r="L36" s="28">
        <v>0.2</v>
      </c>
      <c r="M36" s="28">
        <v>0.1</v>
      </c>
      <c r="N36" s="28">
        <v>0.2</v>
      </c>
      <c r="O36" s="28">
        <v>0.3</v>
      </c>
      <c r="P36" s="6">
        <f t="shared" si="2"/>
        <v>5.3122135843390985E-3</v>
      </c>
      <c r="Q36" s="6">
        <f t="shared" si="3"/>
        <v>1.0624427168678197E-2</v>
      </c>
      <c r="R36" s="6">
        <f t="shared" si="4"/>
        <v>2.1248854337356394E-2</v>
      </c>
      <c r="S36" s="6">
        <f t="shared" si="7"/>
        <v>1.862358872760659E-2</v>
      </c>
      <c r="T36" s="6">
        <f t="shared" si="8"/>
        <v>3.7247177455213179E-2</v>
      </c>
      <c r="U36" s="6">
        <f t="shared" si="9"/>
        <v>5.5870766182819762E-2</v>
      </c>
      <c r="V36" s="6">
        <f t="shared" si="10"/>
        <v>0.23539979999999999</v>
      </c>
      <c r="W36" s="3" t="str">
        <f t="shared" si="5"/>
        <v>Complete</v>
      </c>
      <c r="X36" s="3" t="str">
        <f t="shared" si="6"/>
        <v>Complete</v>
      </c>
      <c r="Y36" s="3" t="s">
        <v>295</v>
      </c>
      <c r="Z36" s="2"/>
      <c r="AA36" s="2"/>
      <c r="AB36" s="2"/>
      <c r="AC36" s="2"/>
      <c r="AD36" s="2"/>
    </row>
    <row r="37" spans="1:30" ht="20" customHeight="1" x14ac:dyDescent="0.25">
      <c r="A37" s="3" t="s">
        <v>229</v>
      </c>
      <c r="B37" s="3" t="s">
        <v>230</v>
      </c>
      <c r="C37" s="3" t="s">
        <v>220</v>
      </c>
      <c r="D37" s="3">
        <v>9</v>
      </c>
      <c r="E37" s="26">
        <f>IF(ISNUMBER('Consensus Input'!E37),'Consensus Input'!E37,IF(AND(ISNUMBER('Consensus Input'!H37),ISNUMBER('Consensus Input'!K37)),'Consensus Input'!H37*'Consensus Input'!K37,""))</f>
        <v>2.056619838420108</v>
      </c>
      <c r="F37" s="26">
        <f>IF(ISNUMBER('Consensus Input'!F37),'Consensus Input'!F37,IF(AND(ISNUMBER('Consensus Input'!I37),ISNUMBER('Consensus Input'!L37)),'Consensus Input'!I37*'Consensus Input'!L37,""))</f>
        <v>3.0971880000000001</v>
      </c>
      <c r="G37" s="26">
        <v>3.6606540000000001</v>
      </c>
      <c r="H37" s="27">
        <f t="shared" si="0"/>
        <v>1.0405681615798921</v>
      </c>
      <c r="I37" s="27">
        <f t="shared" si="1"/>
        <v>0.56346600000000002</v>
      </c>
      <c r="J37" s="28">
        <v>0.05</v>
      </c>
      <c r="K37" s="28">
        <v>0.1</v>
      </c>
      <c r="L37" s="28">
        <v>0.2</v>
      </c>
      <c r="M37" s="28">
        <v>0.1</v>
      </c>
      <c r="N37" s="28">
        <v>0.2</v>
      </c>
      <c r="O37" s="28">
        <v>0.3</v>
      </c>
      <c r="P37" s="6">
        <f t="shared" si="2"/>
        <v>5.2028408078994608E-2</v>
      </c>
      <c r="Q37" s="6">
        <f t="shared" si="3"/>
        <v>0.10405681615798922</v>
      </c>
      <c r="R37" s="6">
        <f t="shared" si="4"/>
        <v>0.20811363231597843</v>
      </c>
      <c r="S37" s="6">
        <f t="shared" si="7"/>
        <v>5.6346600000000004E-2</v>
      </c>
      <c r="T37" s="6">
        <f t="shared" si="8"/>
        <v>0.11269320000000001</v>
      </c>
      <c r="U37" s="6">
        <f t="shared" si="9"/>
        <v>0.16903979999999999</v>
      </c>
      <c r="V37" s="6">
        <f t="shared" si="10"/>
        <v>0.73213080000000008</v>
      </c>
      <c r="W37" s="3" t="str">
        <f t="shared" si="5"/>
        <v>Complete</v>
      </c>
      <c r="X37" s="3" t="str">
        <f t="shared" si="6"/>
        <v>Complete</v>
      </c>
      <c r="Y37" s="3" t="s">
        <v>296</v>
      </c>
      <c r="Z37" s="2"/>
      <c r="AA37" s="2"/>
      <c r="AB37" s="2"/>
      <c r="AC37" s="2"/>
      <c r="AD37" s="2"/>
    </row>
    <row r="38" spans="1:30" ht="20" customHeight="1" x14ac:dyDescent="0.25">
      <c r="A38" s="3" t="s">
        <v>231</v>
      </c>
      <c r="B38" s="3" t="s">
        <v>232</v>
      </c>
      <c r="C38" s="3" t="s">
        <v>233</v>
      </c>
      <c r="D38" s="3">
        <v>12</v>
      </c>
      <c r="E38" s="26">
        <f>IF(ISNUMBER('Consensus Input'!E38),'Consensus Input'!E38,IF(AND(ISNUMBER('Consensus Input'!H38),ISNUMBER('Consensus Input'!K38)),'Consensus Input'!H38*'Consensus Input'!K38,""))</f>
        <v>1.0798052746457449</v>
      </c>
      <c r="F38" s="26">
        <f>IF(ISNUMBER('Consensus Input'!F38),'Consensus Input'!F38,IF(AND(ISNUMBER('Consensus Input'!I38),ISNUMBER('Consensus Input'!L38)),'Consensus Input'!I38*'Consensus Input'!L38,""))</f>
        <v>1.8152560233969079</v>
      </c>
      <c r="G38" s="26">
        <v>2.8980000000000001</v>
      </c>
      <c r="H38" s="27">
        <f t="shared" si="0"/>
        <v>0.73545074875116301</v>
      </c>
      <c r="I38" s="27">
        <f t="shared" si="1"/>
        <v>1.0827439766030922</v>
      </c>
      <c r="J38" s="28">
        <v>0.1</v>
      </c>
      <c r="K38" s="28">
        <v>0.2</v>
      </c>
      <c r="L38" s="28">
        <v>0.35</v>
      </c>
      <c r="M38" s="28">
        <v>0.15</v>
      </c>
      <c r="N38" s="28">
        <v>0.25</v>
      </c>
      <c r="O38" s="28">
        <v>0.4</v>
      </c>
      <c r="P38" s="6">
        <f t="shared" si="2"/>
        <v>7.3545074875116301E-2</v>
      </c>
      <c r="Q38" s="6">
        <f t="shared" si="3"/>
        <v>0.1470901497502326</v>
      </c>
      <c r="R38" s="6">
        <f t="shared" si="4"/>
        <v>0.25740776206290705</v>
      </c>
      <c r="S38" s="6">
        <f t="shared" si="7"/>
        <v>0.16241159649046383</v>
      </c>
      <c r="T38" s="6">
        <f t="shared" si="8"/>
        <v>0.27068599415077305</v>
      </c>
      <c r="U38" s="6">
        <f t="shared" si="9"/>
        <v>0.43309759064123687</v>
      </c>
      <c r="V38" s="6">
        <f t="shared" si="10"/>
        <v>0.72450000000000003</v>
      </c>
      <c r="W38" s="3" t="str">
        <f t="shared" si="5"/>
        <v>Complete</v>
      </c>
      <c r="X38" s="3" t="str">
        <f t="shared" si="6"/>
        <v>Complete</v>
      </c>
      <c r="Y38" s="3" t="s">
        <v>297</v>
      </c>
      <c r="Z38" s="2"/>
      <c r="AA38" s="2"/>
      <c r="AB38" s="2"/>
      <c r="AC38" s="2"/>
      <c r="AD38" s="2"/>
    </row>
    <row r="39" spans="1:30" ht="20" customHeight="1" x14ac:dyDescent="0.25">
      <c r="A39" s="3" t="s">
        <v>234</v>
      </c>
      <c r="B39" s="3" t="s">
        <v>235</v>
      </c>
      <c r="C39" s="3" t="s">
        <v>233</v>
      </c>
      <c r="D39" s="3">
        <v>12</v>
      </c>
      <c r="E39" s="26">
        <f>IF(ISNUMBER('Consensus Input'!E39),'Consensus Input'!E39,IF(AND(ISNUMBER('Consensus Input'!H39),ISNUMBER('Consensus Input'!K39)),'Consensus Input'!H39*'Consensus Input'!K39,""))</f>
        <v>1.1295715200000001</v>
      </c>
      <c r="F39" s="26">
        <f>IF(ISNUMBER('Consensus Input'!F39),'Consensus Input'!F39,IF(AND(ISNUMBER('Consensus Input'!I39),ISNUMBER('Consensus Input'!L39)),'Consensus Input'!I39*'Consensus Input'!L39,""))</f>
        <v>1.3951280500000001</v>
      </c>
      <c r="G39" s="26">
        <v>1.5820000000000001</v>
      </c>
      <c r="H39" s="27">
        <f t="shared" si="0"/>
        <v>0.26555653000000001</v>
      </c>
      <c r="I39" s="27">
        <f t="shared" si="1"/>
        <v>0.18687195000000001</v>
      </c>
      <c r="J39" s="28">
        <v>0.2</v>
      </c>
      <c r="K39" s="28">
        <v>0.35</v>
      </c>
      <c r="L39" s="28">
        <v>0.5</v>
      </c>
      <c r="M39" s="28">
        <v>0.3</v>
      </c>
      <c r="N39" s="28">
        <v>0.45</v>
      </c>
      <c r="O39" s="28">
        <v>0.6</v>
      </c>
      <c r="P39" s="6">
        <f t="shared" si="2"/>
        <v>5.3111306000000004E-2</v>
      </c>
      <c r="Q39" s="6">
        <f t="shared" si="3"/>
        <v>9.2944785500000002E-2</v>
      </c>
      <c r="R39" s="6">
        <f t="shared" si="4"/>
        <v>0.13277826500000001</v>
      </c>
      <c r="S39" s="6">
        <f t="shared" si="7"/>
        <v>5.6061585000000004E-2</v>
      </c>
      <c r="T39" s="6">
        <f t="shared" si="8"/>
        <v>8.409237750000001E-2</v>
      </c>
      <c r="U39" s="6">
        <f t="shared" si="9"/>
        <v>0.11212317000000001</v>
      </c>
      <c r="V39" s="6">
        <f t="shared" si="10"/>
        <v>0.71190000000000009</v>
      </c>
      <c r="W39" s="3" t="str">
        <f t="shared" si="5"/>
        <v>Complete</v>
      </c>
      <c r="X39" s="3" t="str">
        <f t="shared" si="6"/>
        <v>Complete</v>
      </c>
      <c r="Y39" s="3" t="s">
        <v>298</v>
      </c>
      <c r="Z39" s="2"/>
      <c r="AA39" s="2"/>
      <c r="AB39" s="2"/>
      <c r="AC39" s="2"/>
      <c r="AD39" s="2"/>
    </row>
    <row r="40" spans="1:30" ht="20" customHeight="1" x14ac:dyDescent="0.25">
      <c r="A40" s="3" t="s">
        <v>236</v>
      </c>
      <c r="B40" s="3" t="s">
        <v>237</v>
      </c>
      <c r="C40" s="3" t="s">
        <v>233</v>
      </c>
      <c r="D40" s="3">
        <v>12</v>
      </c>
      <c r="E40" s="26">
        <f>IF(ISNUMBER('Consensus Input'!E40),'Consensus Input'!E40,IF(AND(ISNUMBER('Consensus Input'!H40),ISNUMBER('Consensus Input'!K40)),'Consensus Input'!H40*'Consensus Input'!K40,""))</f>
        <v>2.9070909999999999</v>
      </c>
      <c r="F40" s="26">
        <f>IF(ISNUMBER('Consensus Input'!F40),'Consensus Input'!F40,IF(AND(ISNUMBER('Consensus Input'!I40),ISNUMBER('Consensus Input'!L40)),'Consensus Input'!I40*'Consensus Input'!L40,""))</f>
        <v>3.237922591549296</v>
      </c>
      <c r="G40" s="26">
        <v>3.7395160000000001</v>
      </c>
      <c r="H40" s="27">
        <f t="shared" si="0"/>
        <v>0.33083159154929609</v>
      </c>
      <c r="I40" s="27">
        <f t="shared" si="1"/>
        <v>0.5015934084507041</v>
      </c>
      <c r="J40" s="28">
        <v>0.05</v>
      </c>
      <c r="K40" s="28">
        <v>0.15</v>
      </c>
      <c r="L40" s="28">
        <v>0.25</v>
      </c>
      <c r="M40" s="28">
        <v>0.1</v>
      </c>
      <c r="N40" s="28">
        <v>0.2</v>
      </c>
      <c r="O40" s="28">
        <v>0.3</v>
      </c>
      <c r="P40" s="6">
        <f t="shared" si="2"/>
        <v>1.6541579577464806E-2</v>
      </c>
      <c r="Q40" s="6">
        <f t="shared" si="3"/>
        <v>4.9624738732394411E-2</v>
      </c>
      <c r="R40" s="6">
        <f t="shared" si="4"/>
        <v>8.2707897887324022E-2</v>
      </c>
      <c r="S40" s="6">
        <f t="shared" si="7"/>
        <v>5.0159340845070413E-2</v>
      </c>
      <c r="T40" s="6">
        <f t="shared" si="8"/>
        <v>0.10031868169014083</v>
      </c>
      <c r="U40" s="6">
        <f t="shared" si="9"/>
        <v>0.15047802253521123</v>
      </c>
      <c r="V40" s="6">
        <f t="shared" si="10"/>
        <v>0.7479032000000001</v>
      </c>
      <c r="W40" s="3" t="str">
        <f t="shared" si="5"/>
        <v>Complete</v>
      </c>
      <c r="X40" s="3" t="str">
        <f t="shared" si="6"/>
        <v>Complete</v>
      </c>
      <c r="Y40" s="3" t="s">
        <v>299</v>
      </c>
      <c r="Z40" s="2"/>
      <c r="AA40" s="2"/>
      <c r="AB40" s="2"/>
      <c r="AC40" s="2"/>
      <c r="AD40" s="2"/>
    </row>
    <row r="41" spans="1:30" ht="20" customHeight="1" x14ac:dyDescent="0.25">
      <c r="A41" s="3" t="s">
        <v>238</v>
      </c>
      <c r="B41" s="3" t="s">
        <v>239</v>
      </c>
      <c r="C41" s="3" t="s">
        <v>240</v>
      </c>
      <c r="D41" s="3">
        <v>12</v>
      </c>
      <c r="E41" s="26">
        <f>IF(ISNUMBER('Consensus Input'!E41),'Consensus Input'!E41,IF(AND(ISNUMBER('Consensus Input'!H41),ISNUMBER('Consensus Input'!K41)),'Consensus Input'!H41*'Consensus Input'!K41,""))</f>
        <v>0.49658500000000005</v>
      </c>
      <c r="F41" s="26">
        <f>IF(ISNUMBER('Consensus Input'!F41),'Consensus Input'!F41,IF(AND(ISNUMBER('Consensus Input'!I41),ISNUMBER('Consensus Input'!L41)),'Consensus Input'!I41*'Consensus Input'!L41,""))</f>
        <v>1.0706436500000001</v>
      </c>
      <c r="G41" s="26">
        <v>0.95912299999999995</v>
      </c>
      <c r="H41" s="27">
        <f t="shared" si="0"/>
        <v>0.57405865</v>
      </c>
      <c r="I41" s="27">
        <f t="shared" si="1"/>
        <v>-0.11152065000000011</v>
      </c>
      <c r="J41" s="28">
        <v>0.2</v>
      </c>
      <c r="K41" s="28">
        <v>0.3</v>
      </c>
      <c r="L41" s="28">
        <v>0.45</v>
      </c>
      <c r="M41" s="28">
        <v>0.25</v>
      </c>
      <c r="N41" s="28">
        <v>0.35</v>
      </c>
      <c r="O41" s="28">
        <v>0.5</v>
      </c>
      <c r="P41" s="6">
        <f t="shared" si="2"/>
        <v>0.11481173</v>
      </c>
      <c r="Q41" s="6">
        <f t="shared" si="3"/>
        <v>0.172217595</v>
      </c>
      <c r="R41" s="6">
        <f t="shared" si="4"/>
        <v>0.2583263925</v>
      </c>
      <c r="S41" s="6">
        <f t="shared" si="7"/>
        <v>-2.7880162500000027E-2</v>
      </c>
      <c r="T41" s="6">
        <f t="shared" si="8"/>
        <v>-3.9032227500000037E-2</v>
      </c>
      <c r="U41" s="6">
        <f t="shared" si="9"/>
        <v>-5.5760325000000055E-2</v>
      </c>
      <c r="V41" s="6">
        <f t="shared" si="10"/>
        <v>0.33569304999999994</v>
      </c>
      <c r="W41" s="3" t="str">
        <f t="shared" si="5"/>
        <v>Complete</v>
      </c>
      <c r="X41" s="3" t="str">
        <f t="shared" si="6"/>
        <v>Complete</v>
      </c>
      <c r="Y41" s="3" t="s">
        <v>300</v>
      </c>
      <c r="Z41" s="2"/>
      <c r="AA41" s="2"/>
      <c r="AB41" s="2"/>
      <c r="AC41" s="2"/>
      <c r="AD41" s="2"/>
    </row>
    <row r="42" spans="1:30" ht="20" customHeight="1" x14ac:dyDescent="0.25">
      <c r="A42" s="3" t="s">
        <v>241</v>
      </c>
      <c r="B42" s="3" t="s">
        <v>242</v>
      </c>
      <c r="C42" s="3" t="s">
        <v>240</v>
      </c>
      <c r="D42" s="3">
        <v>12</v>
      </c>
      <c r="E42" s="26">
        <f>IF(ISNUMBER('Consensus Input'!E42),'Consensus Input'!E42,IF(AND(ISNUMBER('Consensus Input'!H42),ISNUMBER('Consensus Input'!K42)),'Consensus Input'!H42*'Consensus Input'!K42,""))</f>
        <v>1.3150700000000002</v>
      </c>
      <c r="F42" s="26">
        <f>IF(ISNUMBER('Consensus Input'!F42),'Consensus Input'!F42,IF(AND(ISNUMBER('Consensus Input'!I42),ISNUMBER('Consensus Input'!L42)),'Consensus Input'!I42*'Consensus Input'!L42,""))</f>
        <v>1.6512880000000001</v>
      </c>
      <c r="G42" s="26">
        <v>1.793774</v>
      </c>
      <c r="H42" s="27">
        <f t="shared" si="0"/>
        <v>0.33621799999999991</v>
      </c>
      <c r="I42" s="27">
        <f t="shared" si="1"/>
        <v>0.14248599999999989</v>
      </c>
      <c r="J42" s="28">
        <v>0.2</v>
      </c>
      <c r="K42" s="28">
        <v>0.3</v>
      </c>
      <c r="L42" s="28">
        <v>0.45</v>
      </c>
      <c r="M42" s="28">
        <v>0.25</v>
      </c>
      <c r="N42" s="28">
        <v>0.35</v>
      </c>
      <c r="O42" s="28">
        <v>0.5</v>
      </c>
      <c r="P42" s="6">
        <f t="shared" si="2"/>
        <v>6.7243599999999987E-2</v>
      </c>
      <c r="Q42" s="6">
        <f t="shared" si="3"/>
        <v>0.10086539999999997</v>
      </c>
      <c r="R42" s="6">
        <f t="shared" si="4"/>
        <v>0.15129809999999996</v>
      </c>
      <c r="S42" s="6">
        <f t="shared" si="7"/>
        <v>3.5621499999999973E-2</v>
      </c>
      <c r="T42" s="6">
        <f t="shared" si="8"/>
        <v>4.9870099999999959E-2</v>
      </c>
      <c r="U42" s="6">
        <f t="shared" si="9"/>
        <v>7.1242999999999945E-2</v>
      </c>
      <c r="V42" s="6">
        <f t="shared" si="10"/>
        <v>0.6278208999999999</v>
      </c>
      <c r="W42" s="3" t="str">
        <f t="shared" si="5"/>
        <v>Complete</v>
      </c>
      <c r="X42" s="3" t="str">
        <f t="shared" si="6"/>
        <v>Complete</v>
      </c>
      <c r="Y42" s="3" t="s">
        <v>301</v>
      </c>
      <c r="Z42" s="2"/>
      <c r="AA42" s="2"/>
      <c r="AB42" s="2"/>
      <c r="AC42" s="2"/>
      <c r="AD42" s="2"/>
    </row>
    <row r="43" spans="1:30" ht="20" customHeight="1" x14ac:dyDescent="0.25">
      <c r="A43" s="3" t="s">
        <v>243</v>
      </c>
      <c r="B43" s="3" t="s">
        <v>244</v>
      </c>
      <c r="C43" s="3" t="s">
        <v>245</v>
      </c>
      <c r="D43" s="3">
        <v>12</v>
      </c>
      <c r="E43" s="26">
        <f>IF(ISNUMBER('Consensus Input'!E43),'Consensus Input'!E43,IF(AND(ISNUMBER('Consensus Input'!H43),ISNUMBER('Consensus Input'!K43)),'Consensus Input'!H43*'Consensus Input'!K43,""))</f>
        <v>2.9094899999999999</v>
      </c>
      <c r="F43" s="26">
        <f>IF(ISNUMBER('Consensus Input'!F43),'Consensus Input'!F43,IF(AND(ISNUMBER('Consensus Input'!I43),ISNUMBER('Consensus Input'!L43)),'Consensus Input'!I43*'Consensus Input'!L43,""))</f>
        <v>3.6121050000000001</v>
      </c>
      <c r="G43" s="26">
        <v>4.6892860000000001</v>
      </c>
      <c r="H43" s="27">
        <f t="shared" si="0"/>
        <v>0.70261500000000021</v>
      </c>
      <c r="I43" s="27">
        <f t="shared" si="1"/>
        <v>1.0771809999999999</v>
      </c>
      <c r="J43" s="28">
        <v>0.1</v>
      </c>
      <c r="K43" s="28">
        <v>0.2</v>
      </c>
      <c r="L43" s="28">
        <v>0.35</v>
      </c>
      <c r="M43" s="28">
        <v>0.15</v>
      </c>
      <c r="N43" s="28">
        <v>0.3</v>
      </c>
      <c r="O43" s="28">
        <v>0.45</v>
      </c>
      <c r="P43" s="6">
        <f t="shared" si="2"/>
        <v>7.0261500000000018E-2</v>
      </c>
      <c r="Q43" s="6">
        <f t="shared" si="3"/>
        <v>0.14052300000000004</v>
      </c>
      <c r="R43" s="6">
        <f t="shared" si="4"/>
        <v>0.24591525000000006</v>
      </c>
      <c r="S43" s="6">
        <f t="shared" si="7"/>
        <v>0.16157714999999997</v>
      </c>
      <c r="T43" s="6">
        <f t="shared" si="8"/>
        <v>0.32315429999999995</v>
      </c>
      <c r="U43" s="6">
        <f t="shared" si="9"/>
        <v>0.48473145000000001</v>
      </c>
      <c r="V43" s="6">
        <f t="shared" si="10"/>
        <v>1.4067858</v>
      </c>
      <c r="W43" s="3" t="str">
        <f t="shared" si="5"/>
        <v>Complete</v>
      </c>
      <c r="X43" s="3" t="str">
        <f t="shared" si="6"/>
        <v>Complete</v>
      </c>
      <c r="Y43" s="3" t="s">
        <v>302</v>
      </c>
      <c r="Z43" s="2"/>
      <c r="AA43" s="2"/>
      <c r="AB43" s="2"/>
      <c r="AC43" s="2"/>
      <c r="AD43" s="2"/>
    </row>
    <row r="44" spans="1:30" ht="20" customHeight="1" x14ac:dyDescent="0.25">
      <c r="A44" s="3" t="s">
        <v>246</v>
      </c>
      <c r="B44" s="3" t="s">
        <v>247</v>
      </c>
      <c r="C44" s="3" t="s">
        <v>245</v>
      </c>
      <c r="D44" s="3">
        <v>12</v>
      </c>
      <c r="E44" s="26">
        <f>IF(ISNUMBER('Consensus Input'!E44),'Consensus Input'!E44,IF(AND(ISNUMBER('Consensus Input'!H44),ISNUMBER('Consensus Input'!K44)),'Consensus Input'!H44*'Consensus Input'!K44,""))</f>
        <v>1.84562</v>
      </c>
      <c r="F44" s="26">
        <f>IF(ISNUMBER('Consensus Input'!F44),'Consensus Input'!F44,IF(AND(ISNUMBER('Consensus Input'!I44),ISNUMBER('Consensus Input'!L44)),'Consensus Input'!I44*'Consensus Input'!L44,""))</f>
        <v>2.6090990000000001</v>
      </c>
      <c r="G44" s="26">
        <v>3.5463330000000002</v>
      </c>
      <c r="H44" s="27">
        <f t="shared" si="0"/>
        <v>0.76347900000000002</v>
      </c>
      <c r="I44" s="27">
        <f t="shared" si="1"/>
        <v>0.93723400000000012</v>
      </c>
      <c r="J44" s="28">
        <v>0.1</v>
      </c>
      <c r="K44" s="28">
        <v>0.2</v>
      </c>
      <c r="L44" s="28">
        <v>0.35</v>
      </c>
      <c r="M44" s="28">
        <v>0.15</v>
      </c>
      <c r="N44" s="28">
        <v>0.3</v>
      </c>
      <c r="O44" s="28">
        <v>0.45</v>
      </c>
      <c r="P44" s="6">
        <f t="shared" si="2"/>
        <v>7.634790000000001E-2</v>
      </c>
      <c r="Q44" s="6">
        <f t="shared" si="3"/>
        <v>0.15269580000000002</v>
      </c>
      <c r="R44" s="47">
        <f t="shared" si="4"/>
        <v>0.26721764999999997</v>
      </c>
      <c r="S44" s="47">
        <f t="shared" si="7"/>
        <v>0.14058510000000002</v>
      </c>
      <c r="T44" s="47">
        <f t="shared" si="8"/>
        <v>0.28117020000000004</v>
      </c>
      <c r="U44" s="47">
        <f t="shared" si="9"/>
        <v>0.42175530000000006</v>
      </c>
      <c r="V44" s="47">
        <f t="shared" si="10"/>
        <v>1.0638999</v>
      </c>
      <c r="W44" s="48" t="str">
        <f t="shared" si="5"/>
        <v>Complete</v>
      </c>
      <c r="X44" s="48" t="str">
        <f t="shared" si="6"/>
        <v>Complete</v>
      </c>
      <c r="Y44" s="48" t="s">
        <v>303</v>
      </c>
      <c r="Z44" s="2"/>
      <c r="AA44" s="2"/>
      <c r="AB44" s="2"/>
      <c r="AC44" s="2"/>
      <c r="AD44" s="2"/>
    </row>
    <row r="45" spans="1:30" ht="20" customHeight="1" x14ac:dyDescent="0.25">
      <c r="A45" s="29" t="s">
        <v>304</v>
      </c>
      <c r="B45" s="29"/>
      <c r="C45" s="29"/>
      <c r="D45" s="29"/>
      <c r="E45" s="30">
        <f>SUM(E5:E44)</f>
        <v>583.91053398410133</v>
      </c>
      <c r="F45" s="30">
        <f>SUM(F5:F44)</f>
        <v>933.81543955191648</v>
      </c>
      <c r="G45" s="30">
        <f>SUM(G5:G44)</f>
        <v>1407.868616</v>
      </c>
      <c r="H45" s="30">
        <f>SUM(H5:H44)</f>
        <v>349.9049055678156</v>
      </c>
      <c r="I45" s="30">
        <f>SUM(I5:I44)</f>
        <v>474.05317644808343</v>
      </c>
      <c r="J45" s="29"/>
      <c r="K45" s="31"/>
      <c r="L45" s="31"/>
      <c r="M45" s="31"/>
      <c r="N45" s="31"/>
      <c r="O45" s="31"/>
      <c r="P45" s="30">
        <f t="shared" ref="P45:V45" si="11">SUM(P5:P44)</f>
        <v>195.37399596190991</v>
      </c>
      <c r="Q45" s="30">
        <f t="shared" si="11"/>
        <v>236.57733205361842</v>
      </c>
      <c r="R45" s="32">
        <f t="shared" si="11"/>
        <v>273.9808483213983</v>
      </c>
      <c r="S45" s="32">
        <f t="shared" si="11"/>
        <v>304.28469906193493</v>
      </c>
      <c r="T45" s="32">
        <f t="shared" si="11"/>
        <v>357.22150093582957</v>
      </c>
      <c r="U45" s="32">
        <f t="shared" si="11"/>
        <v>394.83065144327219</v>
      </c>
      <c r="V45" s="32">
        <f t="shared" si="11"/>
        <v>948.38516519000018</v>
      </c>
      <c r="W45" s="33">
        <f>COUNTIF(W5:W44,"Complete")</f>
        <v>40</v>
      </c>
      <c r="X45" s="33">
        <f>COUNTIF(X5:X44,"Complete")</f>
        <v>40</v>
      </c>
      <c r="Y45" s="33"/>
      <c r="Z45" s="2"/>
      <c r="AA45" s="2"/>
      <c r="AB45" s="2"/>
      <c r="AC45" s="2"/>
      <c r="AD45" s="2"/>
    </row>
    <row r="46" spans="1:3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</sheetData>
  <mergeCells count="2">
    <mergeCell ref="A1:R1"/>
    <mergeCell ref="A2:R2"/>
  </mergeCells>
  <conditionalFormatting sqref="Q5:Q44">
    <cfRule type="containsText" dxfId="2" priority="2" operator="containsText" text="Needs consensus">
      <formula>NOT(ISERROR(SEARCH("Needs consensus",Q5)))</formula>
    </cfRule>
    <cfRule type="containsText" dxfId="1" priority="3" operator="containsText" text="Complete">
      <formula>NOT(ISERROR(SEARCH("Complete",Q5)))</formula>
    </cfRule>
  </conditionalFormatting>
  <conditionalFormatting sqref="W5:X44">
    <cfRule type="containsText" dxfId="0" priority="4" operator="containsText" text="Missing">
      <formula>NOT(ISERROR(SEARCH("Missing",W5)))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1:Z250"/>
  <sheetViews>
    <sheetView showGridLines="0" topLeftCell="B1" zoomScaleNormal="100" workbookViewId="0">
      <pane ySplit="5" topLeftCell="A7" activePane="bottomLeft" state="frozen"/>
      <selection pane="bottomLeft" activeCell="N11" sqref="N11"/>
    </sheetView>
  </sheetViews>
  <sheetFormatPr defaultColWidth="8.6328125" defaultRowHeight="12.5" x14ac:dyDescent="0.25"/>
  <cols>
    <col min="1" max="1" width="34" customWidth="1"/>
    <col min="2" max="3" width="14" customWidth="1"/>
    <col min="4" max="5" width="15" customWidth="1"/>
    <col min="6" max="8" width="16" customWidth="1"/>
    <col min="9" max="9" width="18" customWidth="1"/>
    <col min="10" max="10" width="17" customWidth="1"/>
    <col min="11" max="13" width="14" customWidth="1"/>
    <col min="14" max="16" width="16" customWidth="1"/>
    <col min="17" max="17" width="45" customWidth="1"/>
    <col min="18" max="18" width="20" customWidth="1"/>
  </cols>
  <sheetData>
    <row r="1" spans="1:26" ht="28" customHeight="1" x14ac:dyDescent="0.25">
      <c r="A1" s="62" t="s">
        <v>305</v>
      </c>
      <c r="B1" s="62" t="s">
        <v>305</v>
      </c>
      <c r="C1" s="62" t="s">
        <v>305</v>
      </c>
      <c r="D1" s="62" t="s">
        <v>305</v>
      </c>
      <c r="E1" s="62" t="s">
        <v>305</v>
      </c>
      <c r="F1" s="62" t="s">
        <v>305</v>
      </c>
      <c r="G1" s="62" t="s">
        <v>305</v>
      </c>
      <c r="H1" s="62" t="s">
        <v>305</v>
      </c>
      <c r="I1" s="62" t="s">
        <v>305</v>
      </c>
      <c r="J1" s="62" t="s">
        <v>305</v>
      </c>
      <c r="K1" s="62" t="s">
        <v>305</v>
      </c>
      <c r="L1" s="62" t="s">
        <v>305</v>
      </c>
      <c r="M1" s="62" t="s">
        <v>305</v>
      </c>
      <c r="N1" s="62" t="s">
        <v>305</v>
      </c>
      <c r="O1" s="62" t="s">
        <v>305</v>
      </c>
      <c r="P1" s="62" t="s">
        <v>305</v>
      </c>
      <c r="Q1" s="62" t="s">
        <v>305</v>
      </c>
      <c r="R1" s="62" t="s">
        <v>305</v>
      </c>
      <c r="S1" s="2"/>
      <c r="T1" s="2"/>
      <c r="U1" s="2"/>
      <c r="V1" s="2"/>
      <c r="W1" s="2"/>
      <c r="X1" s="2"/>
      <c r="Y1" s="2"/>
      <c r="Z1" s="2"/>
    </row>
    <row r="2" spans="1:26" ht="22" customHeight="1" x14ac:dyDescent="0.25">
      <c r="A2" s="63" t="s">
        <v>306</v>
      </c>
      <c r="B2" s="63" t="s">
        <v>306</v>
      </c>
      <c r="C2" s="63" t="s">
        <v>306</v>
      </c>
      <c r="D2" s="63" t="s">
        <v>306</v>
      </c>
      <c r="E2" s="63" t="s">
        <v>306</v>
      </c>
      <c r="F2" s="63" t="s">
        <v>306</v>
      </c>
      <c r="G2" s="63" t="s">
        <v>306</v>
      </c>
      <c r="H2" s="63" t="s">
        <v>306</v>
      </c>
      <c r="I2" s="63" t="s">
        <v>306</v>
      </c>
      <c r="J2" s="63" t="s">
        <v>306</v>
      </c>
      <c r="K2" s="63" t="s">
        <v>306</v>
      </c>
      <c r="L2" s="63" t="s">
        <v>306</v>
      </c>
      <c r="M2" s="63" t="s">
        <v>306</v>
      </c>
      <c r="N2" s="63" t="s">
        <v>306</v>
      </c>
      <c r="O2" s="63" t="s">
        <v>306</v>
      </c>
      <c r="P2" s="63" t="s">
        <v>306</v>
      </c>
      <c r="Q2" s="63" t="s">
        <v>306</v>
      </c>
      <c r="R2" s="63" t="s">
        <v>306</v>
      </c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 x14ac:dyDescent="0.25">
      <c r="A4" s="56" t="s">
        <v>307</v>
      </c>
      <c r="B4" s="56" t="s">
        <v>307</v>
      </c>
      <c r="C4" s="56" t="s">
        <v>307</v>
      </c>
      <c r="D4" s="56" t="s">
        <v>307</v>
      </c>
      <c r="E4" s="56" t="s">
        <v>307</v>
      </c>
      <c r="F4" s="56" t="s">
        <v>307</v>
      </c>
      <c r="G4" s="56" t="s">
        <v>307</v>
      </c>
      <c r="H4" s="56" t="s">
        <v>307</v>
      </c>
      <c r="I4" s="56" t="s">
        <v>307</v>
      </c>
      <c r="J4" s="56" t="s">
        <v>307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" x14ac:dyDescent="0.25">
      <c r="A5" s="17" t="s">
        <v>147</v>
      </c>
      <c r="B5" s="18" t="s">
        <v>308</v>
      </c>
      <c r="C5" s="18" t="s">
        <v>309</v>
      </c>
      <c r="D5" s="18" t="s">
        <v>310</v>
      </c>
      <c r="E5" s="18" t="s">
        <v>311</v>
      </c>
      <c r="F5" s="18" t="s">
        <v>312</v>
      </c>
      <c r="G5" s="18" t="s">
        <v>313</v>
      </c>
      <c r="H5" s="18" t="s">
        <v>314</v>
      </c>
      <c r="I5" s="18" t="s">
        <v>315</v>
      </c>
      <c r="J5" s="19" t="s">
        <v>316</v>
      </c>
      <c r="K5" s="18" t="s">
        <v>571</v>
      </c>
      <c r="L5" s="18" t="s">
        <v>572</v>
      </c>
      <c r="M5" s="18" t="s">
        <v>314</v>
      </c>
      <c r="N5" s="18" t="s">
        <v>575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" x14ac:dyDescent="0.25">
      <c r="A6" s="2" t="s">
        <v>166</v>
      </c>
      <c r="B6" s="34">
        <v>128.30000000000001</v>
      </c>
      <c r="C6" s="34">
        <v>200</v>
      </c>
      <c r="D6" s="35">
        <v>0.75</v>
      </c>
      <c r="E6" s="35">
        <v>0.8</v>
      </c>
      <c r="F6" s="36">
        <f t="shared" ref="F6:G10" si="0">B6*D6</f>
        <v>96.225000000000009</v>
      </c>
      <c r="G6" s="36">
        <f t="shared" si="0"/>
        <v>160</v>
      </c>
      <c r="H6" s="36">
        <f>G6-F6</f>
        <v>63.774999999999991</v>
      </c>
      <c r="I6" s="2" t="s">
        <v>317</v>
      </c>
      <c r="J6" s="2" t="s">
        <v>318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" x14ac:dyDescent="0.25">
      <c r="A7" s="2" t="s">
        <v>117</v>
      </c>
      <c r="B7" s="34">
        <v>64.599999999999994</v>
      </c>
      <c r="C7" s="34">
        <v>175</v>
      </c>
      <c r="D7" s="35">
        <v>0.85</v>
      </c>
      <c r="E7" s="35">
        <v>0.9</v>
      </c>
      <c r="F7" s="36">
        <f t="shared" si="0"/>
        <v>54.91</v>
      </c>
      <c r="G7" s="36">
        <f t="shared" si="0"/>
        <v>157.5</v>
      </c>
      <c r="H7" s="36">
        <f>G7-F7</f>
        <v>102.59</v>
      </c>
      <c r="I7" s="2" t="s">
        <v>319</v>
      </c>
      <c r="J7" s="2" t="s">
        <v>320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" x14ac:dyDescent="0.25">
      <c r="A8" s="2" t="s">
        <v>168</v>
      </c>
      <c r="B8" s="34">
        <v>91.4</v>
      </c>
      <c r="C8" s="34">
        <v>180</v>
      </c>
      <c r="D8" s="35">
        <v>0.85</v>
      </c>
      <c r="E8" s="35">
        <v>0.9</v>
      </c>
      <c r="F8" s="36">
        <f t="shared" si="0"/>
        <v>77.69</v>
      </c>
      <c r="G8" s="36">
        <f t="shared" si="0"/>
        <v>162</v>
      </c>
      <c r="H8" s="36">
        <f>G8-F8</f>
        <v>84.31</v>
      </c>
      <c r="I8" s="2" t="s">
        <v>317</v>
      </c>
      <c r="J8" s="2" t="s">
        <v>318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" x14ac:dyDescent="0.25">
      <c r="A9" s="2" t="s">
        <v>321</v>
      </c>
      <c r="B9" s="34">
        <v>72.2</v>
      </c>
      <c r="C9" s="34">
        <v>135</v>
      </c>
      <c r="D9" s="35">
        <v>0.85</v>
      </c>
      <c r="E9" s="35">
        <v>0.9</v>
      </c>
      <c r="F9" s="36">
        <f t="shared" si="0"/>
        <v>61.37</v>
      </c>
      <c r="G9" s="36">
        <f t="shared" si="0"/>
        <v>121.5</v>
      </c>
      <c r="H9" s="36">
        <f>G9-F9</f>
        <v>60.13</v>
      </c>
      <c r="I9" s="2" t="s">
        <v>317</v>
      </c>
      <c r="J9" s="2" t="s">
        <v>318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" x14ac:dyDescent="0.25">
      <c r="A10" s="2" t="s">
        <v>322</v>
      </c>
      <c r="B10" s="34">
        <v>55.5</v>
      </c>
      <c r="C10" s="34">
        <v>64</v>
      </c>
      <c r="D10" s="35">
        <v>0.9</v>
      </c>
      <c r="E10" s="35">
        <v>0.95</v>
      </c>
      <c r="F10" s="36">
        <f t="shared" si="0"/>
        <v>49.95</v>
      </c>
      <c r="G10" s="36">
        <f t="shared" si="0"/>
        <v>60.8</v>
      </c>
      <c r="H10" s="36">
        <f>G10-F10</f>
        <v>10.849999999999994</v>
      </c>
      <c r="I10" s="2" t="s">
        <v>323</v>
      </c>
      <c r="J10" s="2" t="s">
        <v>324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thickBot="1" x14ac:dyDescent="0.3">
      <c r="A11" s="37" t="s">
        <v>325</v>
      </c>
      <c r="B11" s="38">
        <f>SUM(B6:B10)</f>
        <v>412</v>
      </c>
      <c r="C11" s="38">
        <f>SUM(C6:C10)</f>
        <v>754</v>
      </c>
      <c r="D11" s="39"/>
      <c r="E11" s="39"/>
      <c r="F11" s="38">
        <f>SUM(F6:F10)</f>
        <v>340.14499999999998</v>
      </c>
      <c r="G11" s="38">
        <f>SUM(G6:G10)</f>
        <v>661.8</v>
      </c>
      <c r="H11" s="38">
        <f>SUM(H6:H10)</f>
        <v>321.65499999999997</v>
      </c>
      <c r="I11" s="37"/>
      <c r="J11" s="37"/>
      <c r="K11" s="37">
        <v>905</v>
      </c>
      <c r="L11" s="37">
        <f>K11*0.9</f>
        <v>814.5</v>
      </c>
      <c r="M11" s="37">
        <f>L11-G11</f>
        <v>152.70000000000005</v>
      </c>
      <c r="N11" s="37">
        <f>K11*(1-Summary!B37)*0.9-G11</f>
        <v>111.97500000000002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" thickTop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" customHeight="1" x14ac:dyDescent="0.25">
      <c r="A14" s="56" t="s">
        <v>326</v>
      </c>
      <c r="B14" s="56" t="s">
        <v>326</v>
      </c>
      <c r="C14" s="56" t="s">
        <v>326</v>
      </c>
      <c r="D14" s="56" t="s">
        <v>326</v>
      </c>
      <c r="E14" s="56" t="s">
        <v>326</v>
      </c>
      <c r="F14" s="56" t="s">
        <v>326</v>
      </c>
      <c r="G14" s="56" t="s">
        <v>326</v>
      </c>
      <c r="H14" s="56" t="s">
        <v>326</v>
      </c>
      <c r="I14" s="56" t="s">
        <v>326</v>
      </c>
      <c r="J14" s="56" t="s">
        <v>326</v>
      </c>
      <c r="K14" s="56" t="s">
        <v>326</v>
      </c>
      <c r="L14" s="56" t="s">
        <v>326</v>
      </c>
      <c r="M14" s="56" t="s">
        <v>326</v>
      </c>
      <c r="N14" s="56" t="s">
        <v>326</v>
      </c>
      <c r="O14" s="56" t="s">
        <v>326</v>
      </c>
      <c r="P14" s="56" t="s">
        <v>326</v>
      </c>
      <c r="Q14" s="56" t="s">
        <v>326</v>
      </c>
      <c r="R14" s="56" t="s">
        <v>326</v>
      </c>
      <c r="S14" s="2"/>
      <c r="T14" s="2"/>
      <c r="U14" s="2"/>
      <c r="V14" s="2"/>
      <c r="W14" s="2"/>
      <c r="X14" s="2"/>
      <c r="Y14" s="2"/>
      <c r="Z14" s="2"/>
    </row>
    <row r="15" spans="1:26" ht="26" x14ac:dyDescent="0.25">
      <c r="A15" s="17" t="s">
        <v>327</v>
      </c>
      <c r="B15" s="18" t="s">
        <v>328</v>
      </c>
      <c r="C15" s="18" t="s">
        <v>329</v>
      </c>
      <c r="D15" s="18" t="s">
        <v>312</v>
      </c>
      <c r="E15" s="18" t="s">
        <v>313</v>
      </c>
      <c r="F15" s="18" t="s">
        <v>330</v>
      </c>
      <c r="G15" s="18" t="s">
        <v>331</v>
      </c>
      <c r="H15" s="18" t="s">
        <v>332</v>
      </c>
      <c r="I15" s="18" t="s">
        <v>333</v>
      </c>
      <c r="J15" s="18" t="s">
        <v>334</v>
      </c>
      <c r="K15" s="18" t="s">
        <v>335</v>
      </c>
      <c r="L15" s="18" t="s">
        <v>336</v>
      </c>
      <c r="M15" s="18" t="s">
        <v>337</v>
      </c>
      <c r="N15" s="18" t="s">
        <v>338</v>
      </c>
      <c r="O15" s="18" t="s">
        <v>339</v>
      </c>
      <c r="P15" s="18" t="s">
        <v>340</v>
      </c>
      <c r="Q15" s="18" t="s">
        <v>341</v>
      </c>
      <c r="R15" s="19" t="s">
        <v>342</v>
      </c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343</v>
      </c>
      <c r="B16" s="35">
        <v>0.35</v>
      </c>
      <c r="C16" s="35">
        <v>0.36</v>
      </c>
      <c r="D16" s="36">
        <f t="shared" ref="D16:D22" si="1">$F$11*B16</f>
        <v>119.05074999999998</v>
      </c>
      <c r="E16" s="36">
        <f t="shared" ref="E16:E22" si="2">$G$11*C16</f>
        <v>238.24799999999996</v>
      </c>
      <c r="F16" s="36">
        <f t="shared" ref="F16:F22" si="3">E16-D16</f>
        <v>119.19724999999998</v>
      </c>
      <c r="G16" s="35">
        <v>0.85</v>
      </c>
      <c r="H16" s="35">
        <v>0.9</v>
      </c>
      <c r="I16" s="35">
        <v>0.95</v>
      </c>
      <c r="J16" s="35">
        <v>1</v>
      </c>
      <c r="K16" s="35">
        <v>0.6</v>
      </c>
      <c r="L16" s="35">
        <v>0.7</v>
      </c>
      <c r="M16" s="35">
        <v>0.8</v>
      </c>
      <c r="N16" s="36">
        <f t="shared" ref="N16:N22" si="4">F16*G16*J16*K16</f>
        <v>60.79059749999999</v>
      </c>
      <c r="O16" s="36">
        <f t="shared" ref="O16:O22" si="5">F16*H16*J16*L16</f>
        <v>75.094267499999987</v>
      </c>
      <c r="P16" s="36">
        <f t="shared" ref="P16:P22" si="6">F16*I16*J16*M16</f>
        <v>90.589909999999989</v>
      </c>
      <c r="Q16" s="2" t="s">
        <v>344</v>
      </c>
      <c r="R16" s="2" t="s">
        <v>345</v>
      </c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346</v>
      </c>
      <c r="B17" s="35">
        <v>0.06</v>
      </c>
      <c r="C17" s="35">
        <v>0.11</v>
      </c>
      <c r="D17" s="36">
        <f t="shared" si="1"/>
        <v>20.4087</v>
      </c>
      <c r="E17" s="36">
        <f t="shared" si="2"/>
        <v>72.798000000000002</v>
      </c>
      <c r="F17" s="36">
        <f t="shared" si="3"/>
        <v>52.389300000000006</v>
      </c>
      <c r="G17" s="35">
        <v>0.65</v>
      </c>
      <c r="H17" s="35">
        <v>0.8</v>
      </c>
      <c r="I17" s="35">
        <v>0.9</v>
      </c>
      <c r="J17" s="35">
        <v>0.95</v>
      </c>
      <c r="K17" s="35">
        <v>0.65</v>
      </c>
      <c r="L17" s="35">
        <v>0.75</v>
      </c>
      <c r="M17" s="35">
        <v>0.85</v>
      </c>
      <c r="N17" s="36">
        <f t="shared" si="4"/>
        <v>21.027755287500003</v>
      </c>
      <c r="O17" s="36">
        <f t="shared" si="5"/>
        <v>29.861901000000003</v>
      </c>
      <c r="P17" s="36">
        <f t="shared" si="6"/>
        <v>38.073923775000004</v>
      </c>
      <c r="Q17" s="2" t="s">
        <v>347</v>
      </c>
      <c r="R17" s="2" t="s">
        <v>345</v>
      </c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348</v>
      </c>
      <c r="B18" s="35">
        <v>0.12</v>
      </c>
      <c r="C18" s="35">
        <v>0.13</v>
      </c>
      <c r="D18" s="36">
        <f t="shared" si="1"/>
        <v>40.817399999999999</v>
      </c>
      <c r="E18" s="36">
        <f t="shared" si="2"/>
        <v>86.033999999999992</v>
      </c>
      <c r="F18" s="36">
        <f t="shared" si="3"/>
        <v>45.216599999999993</v>
      </c>
      <c r="G18" s="35">
        <v>0.4</v>
      </c>
      <c r="H18" s="35">
        <v>0.5</v>
      </c>
      <c r="I18" s="35">
        <v>0.6</v>
      </c>
      <c r="J18" s="35">
        <v>0.9</v>
      </c>
      <c r="K18" s="35">
        <v>0.3</v>
      </c>
      <c r="L18" s="35">
        <v>0.4</v>
      </c>
      <c r="M18" s="35">
        <v>0.5</v>
      </c>
      <c r="N18" s="36">
        <f t="shared" si="4"/>
        <v>4.8833927999999993</v>
      </c>
      <c r="O18" s="36">
        <f t="shared" si="5"/>
        <v>8.1389879999999994</v>
      </c>
      <c r="P18" s="36">
        <f t="shared" si="6"/>
        <v>12.208481999999997</v>
      </c>
      <c r="Q18" s="2" t="s">
        <v>349</v>
      </c>
      <c r="R18" s="2" t="s">
        <v>345</v>
      </c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350</v>
      </c>
      <c r="B19" s="35">
        <v>0.08</v>
      </c>
      <c r="C19" s="35">
        <v>7.0000000000000007E-2</v>
      </c>
      <c r="D19" s="36">
        <f t="shared" si="1"/>
        <v>27.211600000000001</v>
      </c>
      <c r="E19" s="36">
        <f t="shared" si="2"/>
        <v>46.326000000000001</v>
      </c>
      <c r="F19" s="36">
        <f t="shared" si="3"/>
        <v>19.1144</v>
      </c>
      <c r="G19" s="35">
        <v>0.4</v>
      </c>
      <c r="H19" s="35">
        <v>0.55000000000000004</v>
      </c>
      <c r="I19" s="35">
        <v>0.7</v>
      </c>
      <c r="J19" s="35">
        <v>0.9</v>
      </c>
      <c r="K19" s="35">
        <v>0.3</v>
      </c>
      <c r="L19" s="35">
        <v>0.4</v>
      </c>
      <c r="M19" s="35">
        <v>0.5</v>
      </c>
      <c r="N19" s="36">
        <f t="shared" si="4"/>
        <v>2.0643552000000001</v>
      </c>
      <c r="O19" s="36">
        <f t="shared" si="5"/>
        <v>3.7846512000000008</v>
      </c>
      <c r="P19" s="36">
        <f t="shared" si="6"/>
        <v>6.0210359999999996</v>
      </c>
      <c r="Q19" s="2" t="s">
        <v>351</v>
      </c>
      <c r="R19" s="2" t="s">
        <v>345</v>
      </c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220</v>
      </c>
      <c r="B20" s="35">
        <v>0.1</v>
      </c>
      <c r="C20" s="35">
        <v>0.13</v>
      </c>
      <c r="D20" s="36">
        <f t="shared" si="1"/>
        <v>34.014499999999998</v>
      </c>
      <c r="E20" s="36">
        <f t="shared" si="2"/>
        <v>86.033999999999992</v>
      </c>
      <c r="F20" s="36">
        <f t="shared" si="3"/>
        <v>52.019499999999994</v>
      </c>
      <c r="G20" s="35">
        <v>0.25</v>
      </c>
      <c r="H20" s="35">
        <v>0.4</v>
      </c>
      <c r="I20" s="35">
        <v>0.55000000000000004</v>
      </c>
      <c r="J20" s="35">
        <v>0.75</v>
      </c>
      <c r="K20" s="35">
        <v>0.15</v>
      </c>
      <c r="L20" s="35">
        <v>0.2</v>
      </c>
      <c r="M20" s="35">
        <v>0.25</v>
      </c>
      <c r="N20" s="36">
        <f t="shared" si="4"/>
        <v>1.4630484374999997</v>
      </c>
      <c r="O20" s="36">
        <f t="shared" si="5"/>
        <v>3.1211700000000002</v>
      </c>
      <c r="P20" s="36">
        <f t="shared" si="6"/>
        <v>5.3645109374999995</v>
      </c>
      <c r="Q20" s="2" t="s">
        <v>352</v>
      </c>
      <c r="R20" s="2" t="s">
        <v>345</v>
      </c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353</v>
      </c>
      <c r="B21" s="35">
        <v>0.24</v>
      </c>
      <c r="C21" s="35">
        <v>0.15</v>
      </c>
      <c r="D21" s="36">
        <f t="shared" si="1"/>
        <v>81.634799999999998</v>
      </c>
      <c r="E21" s="36">
        <f t="shared" si="2"/>
        <v>99.27</v>
      </c>
      <c r="F21" s="36">
        <f t="shared" si="3"/>
        <v>17.635199999999998</v>
      </c>
      <c r="G21" s="35">
        <v>0.2</v>
      </c>
      <c r="H21" s="35">
        <v>0.3</v>
      </c>
      <c r="I21" s="35">
        <v>0.45</v>
      </c>
      <c r="J21" s="35">
        <v>0.65</v>
      </c>
      <c r="K21" s="35">
        <v>0.03</v>
      </c>
      <c r="L21" s="35">
        <v>0.05</v>
      </c>
      <c r="M21" s="35">
        <v>7.0000000000000007E-2</v>
      </c>
      <c r="N21" s="36">
        <f t="shared" si="4"/>
        <v>6.8777279999999996E-2</v>
      </c>
      <c r="O21" s="36">
        <f t="shared" si="5"/>
        <v>0.17194319999999999</v>
      </c>
      <c r="P21" s="36">
        <f t="shared" si="6"/>
        <v>0.36108071999999997</v>
      </c>
      <c r="Q21" s="2" t="s">
        <v>354</v>
      </c>
      <c r="R21" s="2" t="s">
        <v>345</v>
      </c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 t="s">
        <v>355</v>
      </c>
      <c r="B22" s="35">
        <v>0.05</v>
      </c>
      <c r="C22" s="35">
        <v>0.05</v>
      </c>
      <c r="D22" s="36">
        <f t="shared" si="1"/>
        <v>17.007249999999999</v>
      </c>
      <c r="E22" s="36">
        <f t="shared" si="2"/>
        <v>33.089999999999996</v>
      </c>
      <c r="F22" s="36">
        <f t="shared" si="3"/>
        <v>16.082749999999997</v>
      </c>
      <c r="G22" s="35">
        <v>0</v>
      </c>
      <c r="H22" s="35">
        <v>0</v>
      </c>
      <c r="I22" s="35">
        <v>0</v>
      </c>
      <c r="J22" s="35">
        <v>0.5</v>
      </c>
      <c r="K22" s="35">
        <v>0</v>
      </c>
      <c r="L22" s="35">
        <v>0</v>
      </c>
      <c r="M22" s="35">
        <v>0</v>
      </c>
      <c r="N22" s="36">
        <f t="shared" si="4"/>
        <v>0</v>
      </c>
      <c r="O22" s="36">
        <f t="shared" si="5"/>
        <v>0</v>
      </c>
      <c r="P22" s="36">
        <f t="shared" si="6"/>
        <v>0</v>
      </c>
      <c r="Q22" s="2" t="s">
        <v>356</v>
      </c>
      <c r="R22" s="2" t="s">
        <v>357</v>
      </c>
      <c r="S22" s="2"/>
      <c r="T22" s="2"/>
      <c r="U22" s="2"/>
      <c r="V22" s="2"/>
      <c r="W22" s="2"/>
      <c r="X22" s="2"/>
      <c r="Y22" s="2"/>
      <c r="Z22" s="2"/>
    </row>
    <row r="23" spans="1:26" ht="13" x14ac:dyDescent="0.25">
      <c r="A23" s="37" t="s">
        <v>325</v>
      </c>
      <c r="B23" s="39">
        <f>SUM(B16:B22)</f>
        <v>1</v>
      </c>
      <c r="C23" s="39">
        <f>SUM(C16:C22)</f>
        <v>1</v>
      </c>
      <c r="D23" s="38">
        <f>SUM(D16:D22)</f>
        <v>340.14499999999998</v>
      </c>
      <c r="E23" s="38">
        <f>SUM(E16:E22)</f>
        <v>661.8</v>
      </c>
      <c r="F23" s="38">
        <f>SUM(F16:F22)</f>
        <v>321.65499999999997</v>
      </c>
      <c r="G23" s="37"/>
      <c r="H23" s="37"/>
      <c r="I23" s="37"/>
      <c r="J23" s="37"/>
      <c r="K23" s="37"/>
      <c r="L23" s="37"/>
      <c r="M23" s="37"/>
      <c r="N23" s="38">
        <f>SUM(N16:N22)</f>
        <v>90.297926504999992</v>
      </c>
      <c r="O23" s="38">
        <f>SUM(O16:O22)</f>
        <v>120.17292089999999</v>
      </c>
      <c r="P23" s="38">
        <f>SUM(P16:P22)</f>
        <v>152.6189434325</v>
      </c>
      <c r="Q23" s="37"/>
      <c r="R23" s="37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" customHeight="1" x14ac:dyDescent="0.25">
      <c r="A26" s="16" t="s">
        <v>358</v>
      </c>
      <c r="B26" s="61" t="s">
        <v>359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2"/>
      <c r="T26" s="2"/>
      <c r="U26" s="2"/>
      <c r="V26" s="2"/>
      <c r="W26" s="2"/>
      <c r="X26" s="2"/>
      <c r="Y26" s="2"/>
      <c r="Z26" s="2"/>
    </row>
    <row r="27" spans="1:26" ht="14" customHeight="1" x14ac:dyDescent="0.25">
      <c r="A27" s="16" t="s">
        <v>360</v>
      </c>
      <c r="B27" s="61" t="s">
        <v>361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2"/>
      <c r="T27" s="2"/>
      <c r="U27" s="2"/>
      <c r="V27" s="2"/>
      <c r="W27" s="2"/>
      <c r="X27" s="2"/>
      <c r="Y27" s="2"/>
      <c r="Z27" s="2"/>
    </row>
    <row r="28" spans="1:26" ht="14" customHeight="1" x14ac:dyDescent="0.25">
      <c r="A28" s="16" t="s">
        <v>362</v>
      </c>
      <c r="B28" s="61" t="s">
        <v>363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mergeCells count="7">
    <mergeCell ref="B27:R27"/>
    <mergeCell ref="B28:R28"/>
    <mergeCell ref="A1:R1"/>
    <mergeCell ref="A2:R2"/>
    <mergeCell ref="A4:J4"/>
    <mergeCell ref="A14:R14"/>
    <mergeCell ref="B26:R2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Z250"/>
  <sheetViews>
    <sheetView showGridLines="0" zoomScaleNormal="100" workbookViewId="0">
      <pane ySplit="5" topLeftCell="A6" activePane="bottomLeft" state="frozen"/>
      <selection pane="bottomLeft" activeCell="D13" sqref="D13"/>
    </sheetView>
  </sheetViews>
  <sheetFormatPr defaultColWidth="8.6328125" defaultRowHeight="12.5" x14ac:dyDescent="0.25"/>
  <cols>
    <col min="1" max="1" width="38" customWidth="1"/>
    <col min="2" max="2" width="32" customWidth="1"/>
    <col min="3" max="3" width="22" customWidth="1"/>
    <col min="4" max="4" width="42" customWidth="1"/>
    <col min="5" max="8" width="14" customWidth="1"/>
    <col min="14" max="14" width="11.36328125" bestFit="1" customWidth="1"/>
  </cols>
  <sheetData>
    <row r="1" spans="1:26" ht="28" customHeight="1" x14ac:dyDescent="0.25">
      <c r="A1" s="58"/>
      <c r="B1" s="58"/>
      <c r="C1" s="58"/>
      <c r="D1" s="58"/>
      <c r="E1" s="58"/>
      <c r="F1" s="58"/>
      <c r="G1" s="58"/>
      <c r="H1" s="5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" customHeight="1" x14ac:dyDescent="0.25">
      <c r="A2" s="59"/>
      <c r="B2" s="59"/>
      <c r="C2" s="59"/>
      <c r="D2" s="59"/>
      <c r="E2" s="59"/>
      <c r="F2" s="59"/>
      <c r="G2" s="59"/>
      <c r="H2" s="59"/>
      <c r="I2" s="66" t="s">
        <v>364</v>
      </c>
      <c r="J2" s="66"/>
      <c r="K2" s="66"/>
      <c r="L2" s="6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4" t="s">
        <v>365</v>
      </c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 x14ac:dyDescent="0.25">
      <c r="A4" s="68" t="s">
        <v>366</v>
      </c>
      <c r="B4" s="68"/>
      <c r="C4" s="68"/>
      <c r="D4" s="68"/>
      <c r="E4" s="68"/>
      <c r="F4" s="68"/>
      <c r="G4" s="68"/>
      <c r="H4" s="68"/>
      <c r="I4" s="40" t="s">
        <v>146</v>
      </c>
      <c r="J4" s="40" t="s">
        <v>115</v>
      </c>
      <c r="K4" s="40" t="s">
        <v>367</v>
      </c>
      <c r="L4" s="40" t="s">
        <v>368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25">
      <c r="A5" s="5" t="s">
        <v>2</v>
      </c>
      <c r="B5" s="5" t="s">
        <v>369</v>
      </c>
      <c r="C5" s="5" t="s">
        <v>15</v>
      </c>
      <c r="D5" s="5" t="s">
        <v>370</v>
      </c>
      <c r="E5" s="3"/>
      <c r="F5" s="5" t="s">
        <v>371</v>
      </c>
      <c r="G5" s="5" t="s">
        <v>369</v>
      </c>
      <c r="H5" s="5" t="s">
        <v>15</v>
      </c>
      <c r="I5" s="2" t="s">
        <v>162</v>
      </c>
      <c r="J5" s="35"/>
      <c r="K5" s="35"/>
      <c r="L5" s="3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7.5" x14ac:dyDescent="0.25">
      <c r="A6" s="3" t="s">
        <v>87</v>
      </c>
      <c r="B6" s="41">
        <v>46288</v>
      </c>
      <c r="C6" s="3" t="s">
        <v>372</v>
      </c>
      <c r="D6" s="3" t="s">
        <v>373</v>
      </c>
      <c r="E6" s="3"/>
      <c r="F6" s="3" t="s">
        <v>374</v>
      </c>
      <c r="G6" s="28">
        <v>0.5</v>
      </c>
      <c r="H6" s="3" t="s">
        <v>375</v>
      </c>
      <c r="I6" s="2" t="s">
        <v>165</v>
      </c>
      <c r="J6" s="35"/>
      <c r="K6" s="35"/>
      <c r="L6" s="3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" x14ac:dyDescent="0.25">
      <c r="A7" s="3" t="s">
        <v>376</v>
      </c>
      <c r="B7" s="54">
        <v>274.19</v>
      </c>
      <c r="C7" s="3" t="s">
        <v>83</v>
      </c>
      <c r="D7" s="3" t="s">
        <v>377</v>
      </c>
      <c r="E7" s="3"/>
      <c r="F7" s="3" t="s">
        <v>378</v>
      </c>
      <c r="G7" s="43">
        <v>40</v>
      </c>
      <c r="H7" s="3" t="s">
        <v>379</v>
      </c>
      <c r="I7" s="2" t="s">
        <v>167</v>
      </c>
      <c r="J7" s="35"/>
      <c r="K7" s="35"/>
      <c r="L7" s="3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 t="s">
        <v>380</v>
      </c>
      <c r="B8" s="54">
        <v>360</v>
      </c>
      <c r="C8" s="3" t="s">
        <v>83</v>
      </c>
      <c r="D8" s="3" t="s">
        <v>377</v>
      </c>
      <c r="E8" s="3"/>
      <c r="F8" s="3"/>
      <c r="G8" s="3"/>
      <c r="H8" s="3"/>
      <c r="I8" s="2" t="s">
        <v>169</v>
      </c>
      <c r="J8" s="35"/>
      <c r="K8" s="35"/>
      <c r="L8" s="3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 t="s">
        <v>381</v>
      </c>
      <c r="B9" s="54">
        <v>420</v>
      </c>
      <c r="C9" s="3" t="s">
        <v>83</v>
      </c>
      <c r="D9" s="3" t="s">
        <v>382</v>
      </c>
      <c r="E9" s="3"/>
      <c r="F9" s="3"/>
      <c r="G9" s="3"/>
      <c r="H9" s="3"/>
      <c r="I9" s="2" t="s">
        <v>171</v>
      </c>
      <c r="J9" s="35"/>
      <c r="K9" s="35"/>
      <c r="L9" s="3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86</v>
      </c>
      <c r="B10" s="42">
        <v>8.5366900000000001</v>
      </c>
      <c r="C10" s="3" t="s">
        <v>383</v>
      </c>
      <c r="D10" s="3" t="s">
        <v>384</v>
      </c>
      <c r="E10" s="3"/>
      <c r="F10" s="3"/>
      <c r="G10" s="3"/>
      <c r="H10" s="3"/>
      <c r="I10" s="2" t="s">
        <v>172</v>
      </c>
      <c r="J10" s="35"/>
      <c r="K10" s="35"/>
      <c r="L10" s="3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 t="s">
        <v>385</v>
      </c>
      <c r="B11" s="44">
        <f>B8-B7</f>
        <v>85.81</v>
      </c>
      <c r="C11" s="3" t="s">
        <v>83</v>
      </c>
      <c r="D11" s="3" t="s">
        <v>9</v>
      </c>
      <c r="E11" s="3"/>
      <c r="F11" s="3"/>
      <c r="G11" s="3"/>
      <c r="H11" s="3"/>
      <c r="I11" s="2" t="s">
        <v>174</v>
      </c>
      <c r="J11" s="35"/>
      <c r="K11" s="35"/>
      <c r="L11" s="3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 t="s">
        <v>386</v>
      </c>
      <c r="B12" s="44">
        <f>B9-B8</f>
        <v>60</v>
      </c>
      <c r="C12" s="3" t="s">
        <v>83</v>
      </c>
      <c r="D12" s="3" t="s">
        <v>9</v>
      </c>
      <c r="E12" s="3"/>
      <c r="F12" s="3"/>
      <c r="G12" s="3"/>
      <c r="H12" s="3"/>
      <c r="I12" s="2" t="s">
        <v>176</v>
      </c>
      <c r="J12" s="35"/>
      <c r="K12" s="35"/>
      <c r="L12" s="3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" t="s">
        <v>387</v>
      </c>
      <c r="B13" s="44">
        <f>B11*B10</f>
        <v>732.53336890000003</v>
      </c>
      <c r="C13" s="3" t="s">
        <v>17</v>
      </c>
      <c r="D13" s="3" t="s">
        <v>9</v>
      </c>
      <c r="E13" s="3"/>
      <c r="F13" s="3"/>
      <c r="G13" s="3"/>
      <c r="H13" s="3"/>
      <c r="I13" s="2" t="s">
        <v>177</v>
      </c>
      <c r="J13" s="35"/>
      <c r="K13" s="35"/>
      <c r="L13" s="3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 t="s">
        <v>388</v>
      </c>
      <c r="B14" s="44">
        <f>B12*B10</f>
        <v>512.20140000000004</v>
      </c>
      <c r="C14" s="3" t="s">
        <v>17</v>
      </c>
      <c r="D14" s="3" t="s">
        <v>9</v>
      </c>
      <c r="E14" s="3"/>
      <c r="F14" s="3"/>
      <c r="G14" s="3"/>
      <c r="H14" s="3"/>
      <c r="I14" s="2" t="s">
        <v>179</v>
      </c>
      <c r="J14" s="35"/>
      <c r="K14" s="35"/>
      <c r="L14" s="3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2" t="s">
        <v>567</v>
      </c>
      <c r="B15" s="53">
        <v>0.9</v>
      </c>
      <c r="C15" s="1"/>
      <c r="D15" s="1"/>
      <c r="E15" s="1"/>
      <c r="F15" s="1"/>
      <c r="G15" s="1"/>
      <c r="H15" s="1"/>
      <c r="I15" s="2" t="s">
        <v>181</v>
      </c>
      <c r="J15" s="35"/>
      <c r="K15" s="35"/>
      <c r="L15" s="3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" x14ac:dyDescent="0.25">
      <c r="A16" s="45"/>
      <c r="B16" s="67"/>
      <c r="C16" s="67"/>
      <c r="D16" s="67"/>
      <c r="E16" s="67"/>
      <c r="F16" s="67"/>
      <c r="G16" s="67"/>
      <c r="H16" s="67"/>
      <c r="I16" s="2" t="s">
        <v>184</v>
      </c>
      <c r="J16" s="35"/>
      <c r="K16" s="35"/>
      <c r="L16" s="3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" x14ac:dyDescent="0.25">
      <c r="A17" s="45"/>
      <c r="B17" s="67"/>
      <c r="C17" s="67"/>
      <c r="D17" s="67"/>
      <c r="E17" s="67"/>
      <c r="F17" s="67"/>
      <c r="G17" s="67"/>
      <c r="H17" s="67"/>
      <c r="I17" s="2" t="s">
        <v>186</v>
      </c>
      <c r="J17" s="35"/>
      <c r="K17" s="35"/>
      <c r="L17" s="3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" x14ac:dyDescent="0.25">
      <c r="A18" s="45"/>
      <c r="B18" s="67"/>
      <c r="C18" s="67"/>
      <c r="D18" s="67"/>
      <c r="E18" s="67"/>
      <c r="F18" s="67"/>
      <c r="G18" s="67"/>
      <c r="H18" s="67"/>
      <c r="I18" s="2" t="s">
        <v>188</v>
      </c>
      <c r="J18" s="35"/>
      <c r="K18" s="35"/>
      <c r="L18" s="3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" x14ac:dyDescent="0.25">
      <c r="A19" s="45"/>
      <c r="B19" s="67"/>
      <c r="C19" s="67"/>
      <c r="D19" s="67"/>
      <c r="E19" s="67"/>
      <c r="F19" s="67"/>
      <c r="G19" s="67"/>
      <c r="H19" s="67"/>
      <c r="I19" s="2" t="s">
        <v>190</v>
      </c>
      <c r="J19" s="35"/>
      <c r="K19" s="35"/>
      <c r="L19" s="3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" x14ac:dyDescent="0.25">
      <c r="A20" s="45"/>
      <c r="B20" s="67"/>
      <c r="C20" s="67"/>
      <c r="D20" s="67"/>
      <c r="E20" s="67"/>
      <c r="F20" s="67"/>
      <c r="G20" s="67"/>
      <c r="H20" s="67"/>
      <c r="I20" s="2" t="s">
        <v>192</v>
      </c>
      <c r="J20" s="35"/>
      <c r="K20" s="35"/>
      <c r="L20" s="3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6" customHeight="1" x14ac:dyDescent="0.25">
      <c r="A21" s="16" t="s">
        <v>389</v>
      </c>
      <c r="B21" s="3" t="s">
        <v>390</v>
      </c>
      <c r="C21" s="3"/>
      <c r="D21" s="3"/>
      <c r="E21" s="3"/>
      <c r="F21" s="3"/>
      <c r="G21" s="3"/>
      <c r="H21" s="3"/>
      <c r="I21" s="2" t="s">
        <v>195</v>
      </c>
      <c r="J21" s="35"/>
      <c r="K21" s="35"/>
      <c r="L21" s="3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6" customHeight="1" x14ac:dyDescent="0.25">
      <c r="A22" s="16" t="s">
        <v>391</v>
      </c>
      <c r="B22" s="3" t="s">
        <v>392</v>
      </c>
      <c r="C22" s="3"/>
      <c r="D22" s="3"/>
      <c r="E22" s="3"/>
      <c r="F22" s="3"/>
      <c r="G22" s="3"/>
      <c r="H22" s="3"/>
      <c r="I22" s="2" t="s">
        <v>197</v>
      </c>
      <c r="J22" s="35"/>
      <c r="K22" s="35"/>
      <c r="L22" s="3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56" customHeight="1" x14ac:dyDescent="0.25">
      <c r="A23" s="16" t="s">
        <v>393</v>
      </c>
      <c r="B23" s="3" t="s">
        <v>394</v>
      </c>
      <c r="C23" s="3"/>
      <c r="D23" s="3"/>
      <c r="E23" s="3"/>
      <c r="F23" s="3"/>
      <c r="G23" s="3"/>
      <c r="H23" s="3"/>
      <c r="I23" s="2" t="s">
        <v>199</v>
      </c>
      <c r="J23" s="35"/>
      <c r="K23" s="35"/>
      <c r="L23" s="3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56" customHeight="1" x14ac:dyDescent="0.25">
      <c r="A24" s="16" t="s">
        <v>160</v>
      </c>
      <c r="B24" s="3" t="s">
        <v>395</v>
      </c>
      <c r="C24" s="3"/>
      <c r="D24" s="3"/>
      <c r="E24" s="3"/>
      <c r="F24" s="3"/>
      <c r="G24" s="3"/>
      <c r="H24" s="3"/>
      <c r="I24" s="2" t="s">
        <v>201</v>
      </c>
      <c r="J24" s="35"/>
      <c r="K24" s="35"/>
      <c r="L24" s="3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 t="s">
        <v>203</v>
      </c>
      <c r="J25" s="35"/>
      <c r="K25" s="35"/>
      <c r="L25" s="3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 t="s">
        <v>205</v>
      </c>
      <c r="J26" s="35"/>
      <c r="K26" s="35"/>
      <c r="L26" s="3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 t="s">
        <v>207</v>
      </c>
      <c r="J27" s="35"/>
      <c r="K27" s="35"/>
      <c r="L27" s="3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 t="s">
        <v>210</v>
      </c>
      <c r="J28" s="35"/>
      <c r="K28" s="35"/>
      <c r="L28" s="3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 t="s">
        <v>212</v>
      </c>
      <c r="J29" s="35"/>
      <c r="K29" s="35"/>
      <c r="L29" s="3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 t="s">
        <v>214</v>
      </c>
      <c r="J30" s="35"/>
      <c r="K30" s="35"/>
      <c r="L30" s="3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 t="s">
        <v>216</v>
      </c>
      <c r="J31" s="35"/>
      <c r="K31" s="35"/>
      <c r="L31" s="3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 t="s">
        <v>218</v>
      </c>
      <c r="J32" s="35"/>
      <c r="K32" s="35"/>
      <c r="L32" s="3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 t="s">
        <v>221</v>
      </c>
      <c r="J33" s="35"/>
      <c r="K33" s="35"/>
      <c r="L33" s="3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 t="s">
        <v>223</v>
      </c>
      <c r="J34" s="35"/>
      <c r="K34" s="35"/>
      <c r="L34" s="3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 t="s">
        <v>225</v>
      </c>
      <c r="J35" s="35"/>
      <c r="K35" s="35"/>
      <c r="L35" s="3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 t="s">
        <v>227</v>
      </c>
      <c r="J36" s="35"/>
      <c r="K36" s="35"/>
      <c r="L36" s="3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 t="s">
        <v>229</v>
      </c>
      <c r="J37" s="35"/>
      <c r="K37" s="35"/>
      <c r="L37" s="3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 t="s">
        <v>231</v>
      </c>
      <c r="J38" s="35"/>
      <c r="K38" s="35"/>
      <c r="L38" s="3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 t="s">
        <v>234</v>
      </c>
      <c r="J39" s="35"/>
      <c r="K39" s="35"/>
      <c r="L39" s="3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 t="s">
        <v>236</v>
      </c>
      <c r="J40" s="35"/>
      <c r="K40" s="35"/>
      <c r="L40" s="3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 t="s">
        <v>238</v>
      </c>
      <c r="J41" s="35"/>
      <c r="K41" s="35"/>
      <c r="L41" s="3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 t="s">
        <v>241</v>
      </c>
      <c r="J42" s="35"/>
      <c r="K42" s="35"/>
      <c r="L42" s="3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 t="s">
        <v>243</v>
      </c>
      <c r="J43" s="35"/>
      <c r="K43" s="35"/>
      <c r="L43" s="3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 t="s">
        <v>246</v>
      </c>
      <c r="J44" s="35"/>
      <c r="K44" s="35"/>
      <c r="L44" s="3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mergeCells count="9">
    <mergeCell ref="B20:H20"/>
    <mergeCell ref="A1:H1"/>
    <mergeCell ref="A2:H2"/>
    <mergeCell ref="A4:H4"/>
    <mergeCell ref="I2:L2"/>
    <mergeCell ref="B16:H16"/>
    <mergeCell ref="B17:H17"/>
    <mergeCell ref="B18:H18"/>
    <mergeCell ref="B19:H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Z250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6328125" defaultRowHeight="12.5" x14ac:dyDescent="0.25"/>
  <cols>
    <col min="1" max="1" width="24" customWidth="1"/>
    <col min="2" max="2" width="42" customWidth="1"/>
    <col min="3" max="3" width="34" customWidth="1"/>
    <col min="4" max="4" width="36" customWidth="1"/>
    <col min="5" max="6" width="24" customWidth="1"/>
    <col min="7" max="7" width="28" customWidth="1"/>
    <col min="8" max="8" width="24" customWidth="1"/>
  </cols>
  <sheetData>
    <row r="1" spans="1:26" ht="28" customHeight="1" x14ac:dyDescent="0.25">
      <c r="A1" s="62" t="s">
        <v>396</v>
      </c>
      <c r="B1" s="62" t="s">
        <v>396</v>
      </c>
      <c r="C1" s="62" t="s">
        <v>396</v>
      </c>
      <c r="D1" s="62" t="s">
        <v>396</v>
      </c>
      <c r="E1" s="62" t="s">
        <v>396</v>
      </c>
      <c r="F1" s="62" t="s">
        <v>396</v>
      </c>
      <c r="G1" s="62" t="s">
        <v>396</v>
      </c>
      <c r="H1" s="62" t="s">
        <v>396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" customHeight="1" x14ac:dyDescent="0.25">
      <c r="A2" s="63" t="s">
        <v>397</v>
      </c>
      <c r="B2" s="63" t="s">
        <v>397</v>
      </c>
      <c r="C2" s="63" t="s">
        <v>397</v>
      </c>
      <c r="D2" s="63" t="s">
        <v>397</v>
      </c>
      <c r="E2" s="63" t="s">
        <v>397</v>
      </c>
      <c r="F2" s="63" t="s">
        <v>397</v>
      </c>
      <c r="G2" s="63" t="s">
        <v>397</v>
      </c>
      <c r="H2" s="63" t="s">
        <v>397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25">
      <c r="A4" s="5" t="s">
        <v>398</v>
      </c>
      <c r="B4" s="5" t="s">
        <v>399</v>
      </c>
      <c r="C4" s="5" t="s">
        <v>400</v>
      </c>
      <c r="D4" s="5" t="s">
        <v>401</v>
      </c>
      <c r="E4" s="5" t="s">
        <v>402</v>
      </c>
      <c r="F4" s="5" t="s">
        <v>403</v>
      </c>
      <c r="G4" s="5" t="s">
        <v>109</v>
      </c>
      <c r="H4" s="5" t="s">
        <v>404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" x14ac:dyDescent="0.25">
      <c r="A5" s="2" t="s">
        <v>405</v>
      </c>
      <c r="B5" s="2" t="s">
        <v>406</v>
      </c>
      <c r="C5" s="2" t="s">
        <v>407</v>
      </c>
      <c r="D5" s="2" t="s">
        <v>408</v>
      </c>
      <c r="E5" s="2" t="s">
        <v>409</v>
      </c>
      <c r="F5" s="2" t="s">
        <v>410</v>
      </c>
      <c r="G5" s="2" t="s">
        <v>411</v>
      </c>
      <c r="H5" s="2" t="s">
        <v>412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" x14ac:dyDescent="0.25">
      <c r="A6" s="2" t="s">
        <v>413</v>
      </c>
      <c r="B6" s="2" t="s">
        <v>414</v>
      </c>
      <c r="C6" s="2" t="s">
        <v>415</v>
      </c>
      <c r="D6" s="2" t="s">
        <v>416</v>
      </c>
      <c r="E6" s="2" t="s">
        <v>345</v>
      </c>
      <c r="F6" s="2" t="s">
        <v>417</v>
      </c>
      <c r="G6" s="2" t="s">
        <v>418</v>
      </c>
      <c r="H6" s="2" t="s">
        <v>419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" x14ac:dyDescent="0.25">
      <c r="A7" s="2" t="s">
        <v>420</v>
      </c>
      <c r="B7" s="2" t="s">
        <v>421</v>
      </c>
      <c r="C7" s="2" t="s">
        <v>422</v>
      </c>
      <c r="D7" s="2" t="s">
        <v>423</v>
      </c>
      <c r="E7" s="2" t="s">
        <v>424</v>
      </c>
      <c r="F7" s="2" t="s">
        <v>425</v>
      </c>
      <c r="G7" s="2" t="s">
        <v>426</v>
      </c>
      <c r="H7" s="2" t="s">
        <v>427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" x14ac:dyDescent="0.25">
      <c r="A8" s="2" t="s">
        <v>428</v>
      </c>
      <c r="B8" s="2" t="s">
        <v>429</v>
      </c>
      <c r="C8" s="2" t="s">
        <v>430</v>
      </c>
      <c r="D8" s="2" t="s">
        <v>431</v>
      </c>
      <c r="E8" s="2" t="s">
        <v>432</v>
      </c>
      <c r="F8" s="2" t="s">
        <v>433</v>
      </c>
      <c r="G8" s="2" t="s">
        <v>121</v>
      </c>
      <c r="H8" s="2" t="s">
        <v>434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435</v>
      </c>
      <c r="B9" s="2" t="s">
        <v>436</v>
      </c>
      <c r="C9" s="2" t="s">
        <v>437</v>
      </c>
      <c r="D9" s="2" t="s">
        <v>438</v>
      </c>
      <c r="E9" s="2" t="s">
        <v>409</v>
      </c>
      <c r="F9" s="2" t="s">
        <v>439</v>
      </c>
      <c r="G9" s="2" t="s">
        <v>440</v>
      </c>
      <c r="H9" s="2" t="s">
        <v>441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" x14ac:dyDescent="0.25">
      <c r="A10" s="2" t="s">
        <v>442</v>
      </c>
      <c r="B10" s="2" t="s">
        <v>443</v>
      </c>
      <c r="C10" s="2" t="s">
        <v>444</v>
      </c>
      <c r="D10" s="2" t="s">
        <v>445</v>
      </c>
      <c r="E10" s="2" t="s">
        <v>446</v>
      </c>
      <c r="F10" s="2" t="s">
        <v>447</v>
      </c>
      <c r="G10" s="2" t="s">
        <v>448</v>
      </c>
      <c r="H10" s="2" t="s">
        <v>449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450</v>
      </c>
      <c r="B11" s="2" t="s">
        <v>451</v>
      </c>
      <c r="C11" s="2" t="s">
        <v>452</v>
      </c>
      <c r="D11" s="2" t="s">
        <v>453</v>
      </c>
      <c r="E11" s="2" t="s">
        <v>454</v>
      </c>
      <c r="F11" s="2" t="s">
        <v>455</v>
      </c>
      <c r="G11" s="2" t="s">
        <v>456</v>
      </c>
      <c r="H11" s="2" t="s">
        <v>457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458</v>
      </c>
      <c r="B12" s="2" t="s">
        <v>459</v>
      </c>
      <c r="C12" s="2" t="s">
        <v>460</v>
      </c>
      <c r="D12" s="2" t="s">
        <v>461</v>
      </c>
      <c r="E12" s="2" t="s">
        <v>462</v>
      </c>
      <c r="F12" s="2" t="s">
        <v>463</v>
      </c>
      <c r="G12" s="2" t="s">
        <v>464</v>
      </c>
      <c r="H12" s="2" t="s">
        <v>465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" x14ac:dyDescent="0.25">
      <c r="A13" s="2" t="s">
        <v>466</v>
      </c>
      <c r="B13" s="2" t="s">
        <v>467</v>
      </c>
      <c r="C13" s="2" t="s">
        <v>468</v>
      </c>
      <c r="D13" s="2" t="s">
        <v>469</v>
      </c>
      <c r="E13" s="2" t="s">
        <v>345</v>
      </c>
      <c r="F13" s="2" t="s">
        <v>470</v>
      </c>
      <c r="G13" s="2" t="s">
        <v>471</v>
      </c>
      <c r="H13" s="2" t="s">
        <v>472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" x14ac:dyDescent="0.25">
      <c r="A14" s="2" t="s">
        <v>473</v>
      </c>
      <c r="B14" s="2" t="s">
        <v>474</v>
      </c>
      <c r="C14" s="2" t="s">
        <v>475</v>
      </c>
      <c r="D14" s="2" t="s">
        <v>476</v>
      </c>
      <c r="E14" s="2" t="s">
        <v>477</v>
      </c>
      <c r="F14" s="2" t="s">
        <v>478</v>
      </c>
      <c r="G14" s="2" t="s">
        <v>479</v>
      </c>
      <c r="H14" s="2" t="s">
        <v>480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" x14ac:dyDescent="0.25">
      <c r="A15" s="17" t="s">
        <v>481</v>
      </c>
      <c r="B15" s="18" t="s">
        <v>482</v>
      </c>
      <c r="C15" s="18" t="s">
        <v>483</v>
      </c>
      <c r="D15" s="18" t="s">
        <v>484</v>
      </c>
      <c r="E15" s="18" t="s">
        <v>485</v>
      </c>
      <c r="F15" s="18" t="s">
        <v>486</v>
      </c>
      <c r="G15" s="18" t="s">
        <v>487</v>
      </c>
      <c r="H15" s="1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111</v>
      </c>
      <c r="B16" s="2" t="s">
        <v>488</v>
      </c>
      <c r="C16" s="2" t="s">
        <v>489</v>
      </c>
      <c r="D16" s="2" t="s">
        <v>490</v>
      </c>
      <c r="E16" s="2" t="s">
        <v>491</v>
      </c>
      <c r="F16" s="2" t="s">
        <v>368</v>
      </c>
      <c r="G16" s="2" t="s">
        <v>492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493</v>
      </c>
      <c r="B17" s="2" t="s">
        <v>494</v>
      </c>
      <c r="C17" s="2" t="s">
        <v>117</v>
      </c>
      <c r="D17" s="2" t="s">
        <v>495</v>
      </c>
      <c r="E17" s="2" t="s">
        <v>496</v>
      </c>
      <c r="F17" s="2" t="s">
        <v>497</v>
      </c>
      <c r="G17" s="2" t="s">
        <v>498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499</v>
      </c>
      <c r="B18" s="2" t="s">
        <v>500</v>
      </c>
      <c r="C18" s="2" t="s">
        <v>123</v>
      </c>
      <c r="D18" s="2" t="s">
        <v>495</v>
      </c>
      <c r="E18" s="2" t="s">
        <v>496</v>
      </c>
      <c r="F18" s="2" t="s">
        <v>497</v>
      </c>
      <c r="G18" s="2" t="s">
        <v>501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" x14ac:dyDescent="0.25">
      <c r="A19" s="2" t="s">
        <v>502</v>
      </c>
      <c r="B19" s="2" t="s">
        <v>503</v>
      </c>
      <c r="C19" s="2" t="s">
        <v>504</v>
      </c>
      <c r="D19" s="2" t="s">
        <v>495</v>
      </c>
      <c r="E19" s="2" t="s">
        <v>496</v>
      </c>
      <c r="F19" s="2" t="s">
        <v>115</v>
      </c>
      <c r="G19" s="2" t="s">
        <v>131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" x14ac:dyDescent="0.25">
      <c r="A20" s="2" t="s">
        <v>505</v>
      </c>
      <c r="B20" s="2" t="s">
        <v>506</v>
      </c>
      <c r="C20" s="2" t="s">
        <v>507</v>
      </c>
      <c r="D20" s="2" t="s">
        <v>495</v>
      </c>
      <c r="E20" s="2" t="s">
        <v>496</v>
      </c>
      <c r="F20" s="2" t="s">
        <v>497</v>
      </c>
      <c r="G20" s="2" t="s">
        <v>508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509</v>
      </c>
      <c r="B21" s="2" t="s">
        <v>510</v>
      </c>
      <c r="C21" s="2" t="s">
        <v>511</v>
      </c>
      <c r="D21" s="2" t="s">
        <v>512</v>
      </c>
      <c r="E21" s="2" t="s">
        <v>496</v>
      </c>
      <c r="F21" s="2" t="s">
        <v>497</v>
      </c>
      <c r="G21" s="2" t="s">
        <v>513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Z250"/>
  <sheetViews>
    <sheetView showGridLines="0" zoomScaleNormal="100" workbookViewId="0">
      <pane ySplit="4" topLeftCell="A5" activePane="bottomLeft" state="frozen"/>
      <selection pane="bottomLeft" activeCell="E12" sqref="E12"/>
    </sheetView>
  </sheetViews>
  <sheetFormatPr defaultColWidth="8.6328125" defaultRowHeight="12.5" x14ac:dyDescent="0.25"/>
  <cols>
    <col min="1" max="1" width="10" customWidth="1"/>
    <col min="2" max="2" width="14" customWidth="1"/>
    <col min="3" max="3" width="24" customWidth="1"/>
    <col min="4" max="4" width="52" customWidth="1"/>
    <col min="5" max="5" width="70" customWidth="1"/>
    <col min="6" max="6" width="26" customWidth="1"/>
  </cols>
  <sheetData>
    <row r="1" spans="1:26" ht="28" customHeight="1" x14ac:dyDescent="0.25">
      <c r="A1" s="62" t="s">
        <v>514</v>
      </c>
      <c r="B1" s="62" t="s">
        <v>514</v>
      </c>
      <c r="C1" s="62" t="s">
        <v>514</v>
      </c>
      <c r="D1" s="62" t="s">
        <v>514</v>
      </c>
      <c r="E1" s="62" t="s">
        <v>514</v>
      </c>
      <c r="F1" s="62" t="s">
        <v>514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" customHeight="1" x14ac:dyDescent="0.25">
      <c r="A2" s="63" t="s">
        <v>515</v>
      </c>
      <c r="B2" s="63" t="s">
        <v>515</v>
      </c>
      <c r="C2" s="63" t="s">
        <v>515</v>
      </c>
      <c r="D2" s="63" t="s">
        <v>515</v>
      </c>
      <c r="E2" s="63" t="s">
        <v>515</v>
      </c>
      <c r="F2" s="63" t="s">
        <v>515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25">
      <c r="A4" s="17" t="s">
        <v>516</v>
      </c>
      <c r="B4" s="18" t="s">
        <v>517</v>
      </c>
      <c r="C4" s="18" t="s">
        <v>518</v>
      </c>
      <c r="D4" s="18" t="s">
        <v>519</v>
      </c>
      <c r="E4" s="18" t="s">
        <v>520</v>
      </c>
      <c r="F4" s="19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" x14ac:dyDescent="0.25">
      <c r="A5" s="2" t="s">
        <v>521</v>
      </c>
      <c r="B5" s="46">
        <v>46170</v>
      </c>
      <c r="C5" s="2" t="s">
        <v>522</v>
      </c>
      <c r="D5" s="2" t="s">
        <v>523</v>
      </c>
      <c r="E5" s="2" t="s">
        <v>524</v>
      </c>
      <c r="F5" s="2" t="s">
        <v>525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" x14ac:dyDescent="0.25">
      <c r="A6" s="2" t="s">
        <v>526</v>
      </c>
      <c r="B6" s="46">
        <v>46023</v>
      </c>
      <c r="C6" s="2" t="s">
        <v>527</v>
      </c>
      <c r="D6" s="2" t="s">
        <v>528</v>
      </c>
      <c r="E6" s="2" t="s">
        <v>529</v>
      </c>
      <c r="F6" s="2" t="s">
        <v>530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531</v>
      </c>
      <c r="B7" s="46">
        <v>46022</v>
      </c>
      <c r="C7" s="2" t="s">
        <v>532</v>
      </c>
      <c r="D7" s="2" t="s">
        <v>533</v>
      </c>
      <c r="E7" s="2" t="s">
        <v>534</v>
      </c>
      <c r="F7" s="2" t="s">
        <v>535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" x14ac:dyDescent="0.25">
      <c r="A8" s="2" t="s">
        <v>536</v>
      </c>
      <c r="B8" s="46">
        <v>46141</v>
      </c>
      <c r="C8" s="2" t="s">
        <v>117</v>
      </c>
      <c r="D8" s="2" t="s">
        <v>537</v>
      </c>
      <c r="E8" s="2" t="s">
        <v>538</v>
      </c>
      <c r="F8" s="2" t="s">
        <v>318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" x14ac:dyDescent="0.25">
      <c r="A9" s="2" t="s">
        <v>539</v>
      </c>
      <c r="B9" s="46">
        <v>45959</v>
      </c>
      <c r="C9" s="2" t="s">
        <v>168</v>
      </c>
      <c r="D9" s="2" t="s">
        <v>540</v>
      </c>
      <c r="E9" s="2" t="s">
        <v>541</v>
      </c>
      <c r="F9" s="2" t="s">
        <v>318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542</v>
      </c>
      <c r="B10" s="46">
        <v>46156</v>
      </c>
      <c r="C10" s="2" t="s">
        <v>543</v>
      </c>
      <c r="D10" s="2" t="s">
        <v>544</v>
      </c>
      <c r="E10" s="2" t="s">
        <v>545</v>
      </c>
      <c r="F10" s="2" t="s">
        <v>546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" x14ac:dyDescent="0.25">
      <c r="A11" s="2" t="s">
        <v>547</v>
      </c>
      <c r="B11" s="46">
        <v>46225</v>
      </c>
      <c r="C11" s="2" t="s">
        <v>548</v>
      </c>
      <c r="D11" s="2" t="s">
        <v>549</v>
      </c>
      <c r="E11" s="2" t="s">
        <v>550</v>
      </c>
      <c r="F11" s="2" t="s">
        <v>551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" x14ac:dyDescent="0.25">
      <c r="A12" s="2" t="s">
        <v>552</v>
      </c>
      <c r="B12" s="46">
        <v>46288</v>
      </c>
      <c r="C12" s="2" t="s">
        <v>553</v>
      </c>
      <c r="D12" s="2" t="s">
        <v>554</v>
      </c>
      <c r="E12" s="2" t="s">
        <v>555</v>
      </c>
      <c r="F12" s="2" t="s">
        <v>556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" x14ac:dyDescent="0.25">
      <c r="A13" s="2" t="s">
        <v>557</v>
      </c>
      <c r="B13" s="46">
        <v>46288</v>
      </c>
      <c r="C13" s="2" t="s">
        <v>558</v>
      </c>
      <c r="D13" s="2" t="s">
        <v>559</v>
      </c>
      <c r="E13" s="2" t="s">
        <v>560</v>
      </c>
      <c r="F13" s="2" t="s">
        <v>345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mergeCells count="2">
    <mergeCell ref="A1:F1"/>
    <mergeCell ref="A2:F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Data Request</vt:lpstr>
      <vt:lpstr>Consensus Input</vt:lpstr>
      <vt:lpstr>Company Model</vt:lpstr>
      <vt:lpstr>Capex Cross-check</vt:lpstr>
      <vt:lpstr>Assumptions</vt:lpstr>
      <vt:lpstr>Methodology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KANG MO</cp:lastModifiedBy>
  <cp:revision>0</cp:revision>
  <dcterms:created xsi:type="dcterms:W3CDTF">2026-10-02T21:05:19Z</dcterms:created>
  <dcterms:modified xsi:type="dcterms:W3CDTF">2026-10-03T01:26:18Z</dcterms:modified>
  <dc:language>en-US</dc:language>
</cp:coreProperties>
</file>